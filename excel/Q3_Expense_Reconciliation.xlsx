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" sheetId="1" state="visible" r:id="rId1"/>
    <sheet xmlns:r="http://schemas.openxmlformats.org/officeDocument/2006/relationships" name="Sign-off" sheetId="2" state="visible" r:id="rId2"/>
    <sheet xmlns:r="http://schemas.openxmlformats.org/officeDocument/2006/relationships" name="Ledger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Badge_Log" sheetId="6" state="visible" r:id="rId6"/>
    <sheet xmlns:r="http://schemas.openxmlformats.org/officeDocument/2006/relationships" name="_audit_notes" sheetId="7" state="hidden" r:id="rId7"/>
  </sheets>
  <definedNames>
    <definedName name="_xlnm._FilterDatabase" localSheetId="2" hidden="1">'Ledger'!$A$1:$J$243</definedName>
    <definedName name="_xlnm._FilterDatabase" localSheetId="3" hidden="1">'Vendors'!$A$1:$H$24</definedName>
    <definedName name="_xlnm._FilterDatabase" localSheetId="4" hidden="1">'Employees'!$A$1:$I$41</definedName>
    <definedName name="_xlnm._FilterDatabase" localSheetId="5" hidden="1">'Badge_Log'!$A$1:$E$260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0;[Red]-#,##0.00"/>
    <numFmt numFmtId="166" formatCode="yyyy-mm-dd h:mm:ss"/>
    <numFmt numFmtId="167" formatCode="yyyy-mm-dd hh:mm:ss"/>
    <numFmt numFmtId="168" formatCode="hh:mm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165" fontId="0" fillId="3" borderId="1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2">
      <c r="B2" s="1" t="inlineStr">
        <is>
          <t>Q3 FY26 Expense Reconciliation</t>
        </is>
      </c>
    </row>
    <row r="4">
      <c r="A4" s="2" t="inlineStr">
        <is>
          <t>Status</t>
        </is>
      </c>
      <c r="B4" t="inlineStr">
        <is>
          <t>OPEN — unexplained variance flagged by external audit. Sign-off required before quarter close.</t>
        </is>
      </c>
    </row>
    <row r="5">
      <c r="A5" s="2" t="inlineStr"/>
      <c r="B5" t="inlineStr"/>
    </row>
    <row r="6">
      <c r="A6" s="2" t="inlineStr">
        <is>
          <t>Background</t>
        </is>
      </c>
      <c r="B6" t="inlineStr">
        <is>
          <t>Audit flagged that Q3 'Consulting' spend is materially above forecast. Somebody has been paying a vendor that</t>
        </is>
      </c>
    </row>
    <row r="7">
      <c r="A7" s="2" t="inlineStr"/>
      <c r="B7" t="inlineStr">
        <is>
          <t>should not exist. Identify the vendor, the employee responsible, and the total amount paid out in Q3.</t>
        </is>
      </c>
    </row>
    <row r="8">
      <c r="A8" s="2" t="inlineStr"/>
      <c r="B8" t="inlineStr"/>
    </row>
    <row r="9">
      <c r="A9" s="2" t="inlineStr">
        <is>
          <t>Policy AP-4.2</t>
        </is>
      </c>
      <c r="B9" t="inlineStr">
        <is>
          <t>Any single payment of $5,000.00 or more requires VP approval (approver E-1000).</t>
        </is>
      </c>
    </row>
    <row r="10">
      <c r="A10" s="2" t="inlineStr">
        <is>
          <t>Policy AP-4.3</t>
        </is>
      </c>
      <c r="B10" t="inlineStr">
        <is>
          <t>Every payment over $1,000.00 must reference a purchase order (PO #).</t>
        </is>
      </c>
    </row>
    <row r="11">
      <c r="A11" s="2" t="inlineStr">
        <is>
          <t>Policy AP-7.1</t>
        </is>
      </c>
      <c r="B11" t="inlineStr">
        <is>
          <t>Vendor bank details may not match any employee's payroll account.</t>
        </is>
      </c>
    </row>
    <row r="12">
      <c r="A12" s="2" t="inlineStr">
        <is>
          <t>IT notice 19</t>
        </is>
      </c>
      <c r="B12" t="inlineStr">
        <is>
          <t>Vendor master records can only be created from the on-premises finance terminal (HQ-3F Finance).</t>
        </is>
      </c>
    </row>
    <row r="13">
      <c r="A13" s="2" t="inlineStr"/>
      <c r="B13" t="inlineStr">
        <is>
          <t>Remote/VPN access to the vendor master is disabled. Batch loads appear as 'SYSTEM-IMPORT'.</t>
        </is>
      </c>
    </row>
    <row r="14">
      <c r="A14" s="2" t="inlineStr"/>
      <c r="B14" t="inlineStr"/>
    </row>
    <row r="15">
      <c r="A15" s="2" t="inlineStr">
        <is>
          <t>Sheets</t>
        </is>
      </c>
      <c r="B15" t="inlineStr">
        <is>
          <t>Ledger — Q3 payments.  Vendors — vendor master.  Employees — HR extract.  Badge_Log — door access, late Jun/early Jul.</t>
        </is>
      </c>
    </row>
    <row r="16">
      <c r="A16" s="2" t="inlineStr"/>
      <c r="B16" t="inlineStr">
        <is>
          <t>Sign-off — enter your findings; the status column checks them.</t>
        </is>
      </c>
    </row>
    <row r="17">
      <c r="A17" s="2" t="inlineStr"/>
      <c r="B17" t="inlineStr"/>
    </row>
    <row r="18">
      <c r="A18" s="2" t="inlineStr">
        <is>
          <t>Tips</t>
        </is>
      </c>
      <c r="B18" t="inlineStr">
        <is>
          <t>Filters are on every header row. SUMIF, COUNTIF, XLOOKUP/VLOOKUP and sorting are your friends.</t>
        </is>
      </c>
    </row>
    <row r="19">
      <c r="A19" s="2" t="inlineStr"/>
      <c r="B19" t="inlineStr">
        <is>
          <t>Stuck? Auditors leave notes on hidden sheets. (Right-click a sheet tab → Unhide.)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6" customWidth="1" min="3" max="3"/>
    <col width="18" customWidth="1" min="4" max="4"/>
  </cols>
  <sheetData>
    <row r="2">
      <c r="B2" s="1" t="inlineStr">
        <is>
          <t>Reconciliation sign-off</t>
        </is>
      </c>
    </row>
    <row r="3">
      <c r="B3" s="3" t="inlineStr">
        <is>
          <t>Enter findings in the yellow cells. Status updates automatically.</t>
        </is>
      </c>
    </row>
    <row r="5">
      <c r="B5" s="4" t="inlineStr">
        <is>
          <t>Finding</t>
        </is>
      </c>
      <c r="C5" s="4" t="inlineStr">
        <is>
          <t>Your answer</t>
        </is>
      </c>
      <c r="D5" s="4" t="inlineStr">
        <is>
          <t>Status</t>
        </is>
      </c>
    </row>
    <row r="6">
      <c r="B6" s="5" t="inlineStr">
        <is>
          <t>Shell vendor (Vendor ID, e.g. V-1234)</t>
        </is>
      </c>
      <c r="C6" s="6" t="n"/>
      <c r="D6" s="7">
        <f>IF(LEN(UPPER(SUBSTITUTE(TRIM(C6),"-","")))=0,"",IF(SUMPRODUCT(CODE(MID(UPPER(SUBSTITUTE(TRIM(C6),"-","")),ROW(INDIRECT("1:"&amp;LEN(UPPER(SUBSTITUTE(TRIM(C6),"-",""))))),1))*ROW(INDIRECT("1:"&amp;LEN(UPPER(SUBSTITUTE(TRIM(C6),"-",""))))))=830,"✔ Reconciled","✖ Variance"))</f>
        <v/>
      </c>
    </row>
    <row r="7">
      <c r="B7" s="5" t="inlineStr">
        <is>
          <t>Responsible employee (Employee ID)</t>
        </is>
      </c>
      <c r="C7" s="6" t="n"/>
      <c r="D7" s="7">
        <f>IF(LEN(UPPER(SUBSTITUTE(TRIM(C7),"-","")))=0,"",IF(SUMPRODUCT(CODE(MID(UPPER(SUBSTITUTE(TRIM(C7),"-","")),ROW(INDIRECT("1:"&amp;LEN(UPPER(SUBSTITUTE(TRIM(C7),"-",""))))),1))*ROW(INDIRECT("1:"&amp;LEN(UPPER(SUBSTITUTE(TRIM(C7),"-",""))))))=786,"✔ Reconciled","✖ Variance"))</f>
        <v/>
      </c>
    </row>
    <row r="8">
      <c r="B8" s="5" t="inlineStr">
        <is>
          <t>Total paid to shell vendor in Q3 ($)</t>
        </is>
      </c>
      <c r="C8" s="8" t="n"/>
      <c r="D8" s="7">
        <f>IF(C8="","",IF(MOD(ROUND(C8*100,0)*7,100003)=34723,"✔ Reconciled","✖ Variance"))</f>
        <v/>
      </c>
    </row>
    <row r="10">
      <c r="B10" s="2" t="inlineStr">
        <is>
          <t>Overall</t>
        </is>
      </c>
      <c r="C10" s="9">
        <f>IF(COUNTIF(D6:D8,"✔*")=3,"CASE CLOSED — variance explained. Nice work, auditor.",IF(COUNTIF(D6:D8,"✖*")&gt;0,"Something doesn't reconcile yet.","Awaiting findings…"))</f>
        <v/>
      </c>
    </row>
  </sheetData>
  <dataValidations count="1">
    <dataValidation sqref="C8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11" customWidth="1" min="5" max="5"/>
    <col width="22" customWidth="1" min="6" max="6"/>
    <col width="13" customWidth="1" min="7" max="7"/>
    <col width="11" customWidth="1" min="8" max="8"/>
    <col width="12" customWidth="1" min="9" max="9"/>
    <col width="24" customWidth="1" min="10" max="10"/>
  </cols>
  <sheetData>
    <row r="1">
      <c r="A1" s="10" t="inlineStr">
        <is>
          <t>Txn ID</t>
        </is>
      </c>
      <c r="B1" s="10" t="inlineStr">
        <is>
          <t>Date</t>
        </is>
      </c>
      <c r="C1" s="10" t="inlineStr">
        <is>
          <t>Submitted by</t>
        </is>
      </c>
      <c r="D1" s="10" t="inlineStr">
        <is>
          <t>Dept</t>
        </is>
      </c>
      <c r="E1" s="10" t="inlineStr">
        <is>
          <t>Vendor ID</t>
        </is>
      </c>
      <c r="F1" s="10" t="inlineStr">
        <is>
          <t>Category</t>
        </is>
      </c>
      <c r="G1" s="10" t="inlineStr">
        <is>
          <t>Amount</t>
        </is>
      </c>
      <c r="H1" s="10" t="inlineStr">
        <is>
          <t>PO #</t>
        </is>
      </c>
      <c r="I1" s="10" t="inlineStr">
        <is>
          <t>Approved by</t>
        </is>
      </c>
      <c r="J1" s="10" t="inlineStr">
        <is>
          <t>Memo</t>
        </is>
      </c>
    </row>
    <row r="2">
      <c r="A2" t="inlineStr">
        <is>
          <t>TX-30007</t>
        </is>
      </c>
      <c r="B2" s="11" t="n">
        <v>46204</v>
      </c>
      <c r="C2" t="inlineStr">
        <is>
          <t>E-1006</t>
        </is>
      </c>
      <c r="D2" t="inlineStr">
        <is>
          <t>People</t>
        </is>
      </c>
      <c r="E2" t="inlineStr">
        <is>
          <t>V-1139</t>
        </is>
      </c>
      <c r="F2" t="inlineStr">
        <is>
          <t>Meals &amp; entertainment</t>
        </is>
      </c>
      <c r="G2" s="12" t="n">
        <v>40.69</v>
      </c>
      <c r="H2" t="inlineStr"/>
      <c r="I2" t="inlineStr">
        <is>
          <t>E-1019</t>
        </is>
      </c>
      <c r="J2" t="inlineStr">
        <is>
          <t>Client meeting</t>
        </is>
      </c>
    </row>
    <row r="3">
      <c r="A3" t="inlineStr">
        <is>
          <t>TX-30014</t>
        </is>
      </c>
      <c r="B3" s="11" t="n">
        <v>46204</v>
      </c>
      <c r="C3" t="inlineStr">
        <is>
          <t>E-1021</t>
        </is>
      </c>
      <c r="D3" t="inlineStr">
        <is>
          <t>Engineering</t>
        </is>
      </c>
      <c r="E3" t="inlineStr">
        <is>
          <t>V-1117</t>
        </is>
      </c>
      <c r="F3" t="inlineStr">
        <is>
          <t>Meals &amp; entertainment</t>
        </is>
      </c>
      <c r="G3" s="12" t="n">
        <v>252.95</v>
      </c>
      <c r="H3" t="inlineStr"/>
      <c r="I3" t="inlineStr">
        <is>
          <t>E-1017</t>
        </is>
      </c>
      <c r="J3" t="inlineStr">
        <is>
          <t>Replacement</t>
        </is>
      </c>
    </row>
    <row r="4">
      <c r="A4" t="inlineStr">
        <is>
          <t>TX-30021</t>
        </is>
      </c>
      <c r="B4" s="11" t="n">
        <v>46204</v>
      </c>
      <c r="C4" t="inlineStr">
        <is>
          <t>E-1017</t>
        </is>
      </c>
      <c r="D4" t="inlineStr">
        <is>
          <t>Sales</t>
        </is>
      </c>
      <c r="E4" t="inlineStr">
        <is>
          <t>V-1154</t>
        </is>
      </c>
      <c r="F4" t="inlineStr">
        <is>
          <t>Travel</t>
        </is>
      </c>
      <c r="G4" s="12" t="n">
        <v>412.55</v>
      </c>
      <c r="H4" t="inlineStr"/>
      <c r="I4" t="inlineStr">
        <is>
          <t>E-1026</t>
        </is>
      </c>
      <c r="J4" t="inlineStr">
        <is>
          <t>Team offsite</t>
        </is>
      </c>
    </row>
    <row r="5">
      <c r="A5" t="inlineStr">
        <is>
          <t>TX-30028</t>
        </is>
      </c>
      <c r="B5" s="11" t="n">
        <v>46204</v>
      </c>
      <c r="C5" t="inlineStr">
        <is>
          <t>E-1006</t>
        </is>
      </c>
      <c r="D5" t="inlineStr">
        <is>
          <t>People</t>
        </is>
      </c>
      <c r="E5" t="inlineStr">
        <is>
          <t>V-1148</t>
        </is>
      </c>
      <c r="F5" t="inlineStr">
        <is>
          <t>Events</t>
        </is>
      </c>
      <c r="G5" s="12" t="n">
        <v>1560.65</v>
      </c>
      <c r="H5" t="inlineStr">
        <is>
          <t>PO-88235</t>
        </is>
      </c>
      <c r="I5" t="inlineStr">
        <is>
          <t>E-1035</t>
        </is>
      </c>
      <c r="J5" t="inlineStr"/>
    </row>
    <row r="6">
      <c r="A6" t="inlineStr">
        <is>
          <t>TX-30035</t>
        </is>
      </c>
      <c r="B6" s="11" t="n">
        <v>46204</v>
      </c>
      <c r="C6" t="inlineStr">
        <is>
          <t>E-1016</t>
        </is>
      </c>
      <c r="D6" t="inlineStr">
        <is>
          <t>People</t>
        </is>
      </c>
      <c r="E6" t="inlineStr">
        <is>
          <t>V-1165</t>
        </is>
      </c>
      <c r="F6" t="inlineStr">
        <is>
          <t>Insurance</t>
        </is>
      </c>
      <c r="G6" s="12" t="n">
        <v>5837.24</v>
      </c>
      <c r="H6" t="inlineStr">
        <is>
          <t>PO-88248</t>
        </is>
      </c>
      <c r="I6" t="inlineStr">
        <is>
          <t>E-1000</t>
        </is>
      </c>
      <c r="J6" t="inlineStr">
        <is>
          <t>Team offsite</t>
        </is>
      </c>
    </row>
    <row r="7">
      <c r="A7" t="inlineStr">
        <is>
          <t>TX-30042</t>
        </is>
      </c>
      <c r="B7" s="11" t="n">
        <v>46204</v>
      </c>
      <c r="C7" t="inlineStr">
        <is>
          <t>E-1023</t>
        </is>
      </c>
      <c r="D7" t="inlineStr">
        <is>
          <t>Sales</t>
        </is>
      </c>
      <c r="E7" t="inlineStr">
        <is>
          <t>V-1121</t>
        </is>
      </c>
      <c r="F7" t="inlineStr">
        <is>
          <t>Software &amp; hosting</t>
        </is>
      </c>
      <c r="G7" s="12" t="n">
        <v>59.64</v>
      </c>
      <c r="H7" t="inlineStr"/>
      <c r="I7" t="inlineStr">
        <is>
          <t>E-1017</t>
        </is>
      </c>
      <c r="J7" t="inlineStr">
        <is>
          <t>Monthly invoice</t>
        </is>
      </c>
    </row>
    <row r="8">
      <c r="A8" t="inlineStr">
        <is>
          <t>TX-30049</t>
        </is>
      </c>
      <c r="B8" s="11" t="n">
        <v>46205</v>
      </c>
      <c r="C8" t="inlineStr">
        <is>
          <t>E-1022</t>
        </is>
      </c>
      <c r="D8" t="inlineStr">
        <is>
          <t>Facilities</t>
        </is>
      </c>
      <c r="E8" t="inlineStr">
        <is>
          <t>V-1144</t>
        </is>
      </c>
      <c r="F8" t="inlineStr">
        <is>
          <t>Travel</t>
        </is>
      </c>
      <c r="G8" s="12" t="n">
        <v>187.1</v>
      </c>
      <c r="H8" t="inlineStr"/>
      <c r="I8" t="inlineStr">
        <is>
          <t>E-1017</t>
        </is>
      </c>
      <c r="J8" t="inlineStr">
        <is>
          <t>Client meeting</t>
        </is>
      </c>
    </row>
    <row r="9">
      <c r="A9" t="inlineStr">
        <is>
          <t>TX-30056</t>
        </is>
      </c>
      <c r="B9" s="11" t="n">
        <v>46205</v>
      </c>
      <c r="C9" t="inlineStr">
        <is>
          <t>E-1014</t>
        </is>
      </c>
      <c r="D9" t="inlineStr">
        <is>
          <t>Marketing</t>
        </is>
      </c>
      <c r="E9" t="inlineStr">
        <is>
          <t>V-1183</t>
        </is>
      </c>
      <c r="F9" t="inlineStr">
        <is>
          <t>Consulting</t>
        </is>
      </c>
      <c r="G9" s="12" t="n">
        <v>105.46</v>
      </c>
      <c r="H9" t="inlineStr"/>
      <c r="I9" t="inlineStr">
        <is>
          <t>E-1039</t>
        </is>
      </c>
      <c r="J9" t="inlineStr"/>
    </row>
    <row r="10">
      <c r="A10" t="inlineStr">
        <is>
          <t>TX-30063</t>
        </is>
      </c>
      <c r="B10" s="11" t="n">
        <v>46205</v>
      </c>
      <c r="C10" t="inlineStr">
        <is>
          <t>E-1021</t>
        </is>
      </c>
      <c r="D10" t="inlineStr">
        <is>
          <t>Engineering</t>
        </is>
      </c>
      <c r="E10" t="inlineStr">
        <is>
          <t>V-1172</t>
        </is>
      </c>
      <c r="F10" t="inlineStr">
        <is>
          <t>Marketing</t>
        </is>
      </c>
      <c r="G10" s="12" t="n">
        <v>8595.32</v>
      </c>
      <c r="H10" t="inlineStr">
        <is>
          <t>PO-88229</t>
        </is>
      </c>
      <c r="I10" t="inlineStr">
        <is>
          <t>E-1000</t>
        </is>
      </c>
      <c r="J10" t="inlineStr">
        <is>
          <t>Client meeting</t>
        </is>
      </c>
    </row>
    <row r="11">
      <c r="A11" t="inlineStr">
        <is>
          <t>TX-30070</t>
        </is>
      </c>
      <c r="B11" s="11" t="n">
        <v>46205</v>
      </c>
      <c r="C11" t="inlineStr">
        <is>
          <t>E-1036</t>
        </is>
      </c>
      <c r="D11" t="inlineStr">
        <is>
          <t>Finance</t>
        </is>
      </c>
      <c r="E11" t="inlineStr">
        <is>
          <t>V-1109</t>
        </is>
      </c>
      <c r="F11" t="inlineStr">
        <is>
          <t>Shipping</t>
        </is>
      </c>
      <c r="G11" s="12" t="n">
        <v>364.15</v>
      </c>
      <c r="H11" t="inlineStr"/>
      <c r="I11" t="inlineStr">
        <is>
          <t>E-1032</t>
        </is>
      </c>
      <c r="J11" t="inlineStr">
        <is>
          <t>Q3 renewal</t>
        </is>
      </c>
    </row>
    <row r="12">
      <c r="A12" t="inlineStr">
        <is>
          <t>TX-30077</t>
        </is>
      </c>
      <c r="B12" s="11" t="n">
        <v>46205</v>
      </c>
      <c r="C12" t="inlineStr">
        <is>
          <t>E-1034</t>
        </is>
      </c>
      <c r="D12" t="inlineStr">
        <is>
          <t>Marketing</t>
        </is>
      </c>
      <c r="E12" t="inlineStr">
        <is>
          <t>V-1117</t>
        </is>
      </c>
      <c r="F12" t="inlineStr">
        <is>
          <t>Meals &amp; entertainment</t>
        </is>
      </c>
      <c r="G12" s="12" t="n">
        <v>2024.53</v>
      </c>
      <c r="H12" t="inlineStr">
        <is>
          <t>PO-88262</t>
        </is>
      </c>
      <c r="I12" t="inlineStr">
        <is>
          <t>E-1039</t>
        </is>
      </c>
      <c r="J12" t="inlineStr">
        <is>
          <t>Ad hoc</t>
        </is>
      </c>
    </row>
    <row r="13">
      <c r="A13" t="inlineStr">
        <is>
          <t>TX-30084</t>
        </is>
      </c>
      <c r="B13" s="11" t="n">
        <v>46205</v>
      </c>
      <c r="C13" t="inlineStr">
        <is>
          <t>E-1035</t>
        </is>
      </c>
      <c r="D13" t="inlineStr">
        <is>
          <t>Facilities</t>
        </is>
      </c>
      <c r="E13" t="inlineStr">
        <is>
          <t>V-1161</t>
        </is>
      </c>
      <c r="F13" t="inlineStr">
        <is>
          <t>Marketing</t>
        </is>
      </c>
      <c r="G13" s="12" t="n">
        <v>185.3</v>
      </c>
      <c r="H13" t="inlineStr"/>
      <c r="I13" t="inlineStr">
        <is>
          <t>E-1022</t>
        </is>
      </c>
      <c r="J13" t="inlineStr">
        <is>
          <t>Monthly invoice</t>
        </is>
      </c>
    </row>
    <row r="14">
      <c r="A14" t="inlineStr">
        <is>
          <t>TX-30091</t>
        </is>
      </c>
      <c r="B14" s="11" t="n">
        <v>46205</v>
      </c>
      <c r="C14" t="inlineStr">
        <is>
          <t>E-1030</t>
        </is>
      </c>
      <c r="D14" t="inlineStr">
        <is>
          <t>Marketing</t>
        </is>
      </c>
      <c r="E14" t="inlineStr">
        <is>
          <t>V-1187</t>
        </is>
      </c>
      <c r="F14" t="inlineStr">
        <is>
          <t>Consulting</t>
        </is>
      </c>
      <c r="G14" s="12" t="n">
        <v>4875</v>
      </c>
      <c r="H14" t="inlineStr"/>
      <c r="I14" t="inlineStr">
        <is>
          <t>E-1026</t>
        </is>
      </c>
      <c r="J14" t="inlineStr">
        <is>
          <t>Strategic advisory</t>
        </is>
      </c>
    </row>
    <row r="15">
      <c r="A15" t="inlineStr">
        <is>
          <t>TX-30098</t>
        </is>
      </c>
      <c r="B15" s="11" t="n">
        <v>46206</v>
      </c>
      <c r="C15" t="inlineStr">
        <is>
          <t>E-1037</t>
        </is>
      </c>
      <c r="D15" t="inlineStr">
        <is>
          <t>Marketing</t>
        </is>
      </c>
      <c r="E15" t="inlineStr">
        <is>
          <t>V-1183</t>
        </is>
      </c>
      <c r="F15" t="inlineStr">
        <is>
          <t>Consulting</t>
        </is>
      </c>
      <c r="G15" s="12" t="n">
        <v>13050.8</v>
      </c>
      <c r="H15" t="inlineStr">
        <is>
          <t>PO-88072</t>
        </is>
      </c>
      <c r="I15" t="inlineStr">
        <is>
          <t>E-1000</t>
        </is>
      </c>
      <c r="J15" t="inlineStr">
        <is>
          <t>Q3 renewal</t>
        </is>
      </c>
    </row>
    <row r="16">
      <c r="A16" t="inlineStr">
        <is>
          <t>TX-30105</t>
        </is>
      </c>
      <c r="B16" s="11" t="n">
        <v>46206</v>
      </c>
      <c r="C16" t="inlineStr">
        <is>
          <t>E-1036</t>
        </is>
      </c>
      <c r="D16" t="inlineStr">
        <is>
          <t>Finance</t>
        </is>
      </c>
      <c r="E16" t="inlineStr">
        <is>
          <t>V-1114</t>
        </is>
      </c>
      <c r="F16" t="inlineStr">
        <is>
          <t>Travel</t>
        </is>
      </c>
      <c r="G16" s="12" t="n">
        <v>1614.86</v>
      </c>
      <c r="H16" t="inlineStr">
        <is>
          <t>PO-88144</t>
        </is>
      </c>
      <c r="I16" t="inlineStr">
        <is>
          <t>E-1017</t>
        </is>
      </c>
      <c r="J16" t="inlineStr">
        <is>
          <t>Annual licence</t>
        </is>
      </c>
    </row>
    <row r="17">
      <c r="A17" t="inlineStr">
        <is>
          <t>TX-30112</t>
        </is>
      </c>
      <c r="B17" s="11" t="n">
        <v>46206</v>
      </c>
      <c r="C17" t="inlineStr">
        <is>
          <t>E-1034</t>
        </is>
      </c>
      <c r="D17" t="inlineStr">
        <is>
          <t>Marketing</t>
        </is>
      </c>
      <c r="E17" t="inlineStr">
        <is>
          <t>V-1183</t>
        </is>
      </c>
      <c r="F17" t="inlineStr">
        <is>
          <t>Consulting</t>
        </is>
      </c>
      <c r="G17" s="12" t="n">
        <v>188.31</v>
      </c>
      <c r="H17" t="inlineStr"/>
      <c r="I17" t="inlineStr">
        <is>
          <t>E-1012</t>
        </is>
      </c>
      <c r="J17" t="inlineStr">
        <is>
          <t>Replacement</t>
        </is>
      </c>
    </row>
    <row r="18">
      <c r="A18" t="inlineStr">
        <is>
          <t>TX-30119</t>
        </is>
      </c>
      <c r="B18" s="11" t="n">
        <v>46206</v>
      </c>
      <c r="C18" t="inlineStr">
        <is>
          <t>E-1002</t>
        </is>
      </c>
      <c r="D18" t="inlineStr">
        <is>
          <t>Operations</t>
        </is>
      </c>
      <c r="E18" t="inlineStr">
        <is>
          <t>V-1102</t>
        </is>
      </c>
      <c r="F18" t="inlineStr">
        <is>
          <t>Office supplies</t>
        </is>
      </c>
      <c r="G18" s="12" t="n">
        <v>1873.47</v>
      </c>
      <c r="H18" t="inlineStr">
        <is>
          <t>PO-88305</t>
        </is>
      </c>
      <c r="I18" t="inlineStr">
        <is>
          <t>E-1033</t>
        </is>
      </c>
      <c r="J18" t="inlineStr"/>
    </row>
    <row r="19">
      <c r="A19" t="inlineStr">
        <is>
          <t>TX-30126</t>
        </is>
      </c>
      <c r="B19" s="11" t="n">
        <v>46209</v>
      </c>
      <c r="C19" t="inlineStr">
        <is>
          <t>E-1034</t>
        </is>
      </c>
      <c r="D19" t="inlineStr">
        <is>
          <t>Marketing</t>
        </is>
      </c>
      <c r="E19" t="inlineStr">
        <is>
          <t>V-1165</t>
        </is>
      </c>
      <c r="F19" t="inlineStr">
        <is>
          <t>Insurance</t>
        </is>
      </c>
      <c r="G19" s="12" t="n">
        <v>2183.99</v>
      </c>
      <c r="H19" t="inlineStr">
        <is>
          <t>PO-88027</t>
        </is>
      </c>
      <c r="I19" t="inlineStr">
        <is>
          <t>E-1037</t>
        </is>
      </c>
      <c r="J19" t="inlineStr">
        <is>
          <t>Annual licence</t>
        </is>
      </c>
    </row>
    <row r="20">
      <c r="A20" t="inlineStr">
        <is>
          <t>TX-30133</t>
        </is>
      </c>
      <c r="B20" s="11" t="n">
        <v>46209</v>
      </c>
      <c r="C20" t="inlineStr">
        <is>
          <t>E-1028</t>
        </is>
      </c>
      <c r="D20" t="inlineStr">
        <is>
          <t>Engineering</t>
        </is>
      </c>
      <c r="E20" t="inlineStr">
        <is>
          <t>V-1124</t>
        </is>
      </c>
      <c r="F20" t="inlineStr">
        <is>
          <t>Facilities</t>
        </is>
      </c>
      <c r="G20" s="12" t="n">
        <v>427.23</v>
      </c>
      <c r="H20" t="inlineStr"/>
      <c r="I20" t="inlineStr">
        <is>
          <t>E-1032</t>
        </is>
      </c>
      <c r="J20" t="inlineStr">
        <is>
          <t>Ad hoc</t>
        </is>
      </c>
    </row>
    <row r="21">
      <c r="A21" t="inlineStr">
        <is>
          <t>TX-30140</t>
        </is>
      </c>
      <c r="B21" s="11" t="n">
        <v>46209</v>
      </c>
      <c r="C21" t="inlineStr">
        <is>
          <t>E-1025</t>
        </is>
      </c>
      <c r="D21" t="inlineStr">
        <is>
          <t>People</t>
        </is>
      </c>
      <c r="E21" t="inlineStr">
        <is>
          <t>V-1172</t>
        </is>
      </c>
      <c r="F21" t="inlineStr">
        <is>
          <t>Marketing</t>
        </is>
      </c>
      <c r="G21" s="12" t="n">
        <v>205.07</v>
      </c>
      <c r="H21" t="inlineStr"/>
      <c r="I21" t="inlineStr">
        <is>
          <t>E-1035</t>
        </is>
      </c>
      <c r="J21" t="inlineStr">
        <is>
          <t>Client meeting</t>
        </is>
      </c>
    </row>
    <row r="22">
      <c r="A22" t="inlineStr">
        <is>
          <t>TX-30147</t>
        </is>
      </c>
      <c r="B22" s="11" t="n">
        <v>46209</v>
      </c>
      <c r="C22" t="inlineStr">
        <is>
          <t>E-1006</t>
        </is>
      </c>
      <c r="D22" t="inlineStr">
        <is>
          <t>People</t>
        </is>
      </c>
      <c r="E22" t="inlineStr">
        <is>
          <t>V-1154</t>
        </is>
      </c>
      <c r="F22" t="inlineStr">
        <is>
          <t>Travel</t>
        </is>
      </c>
      <c r="G22" s="12" t="n">
        <v>2248.95</v>
      </c>
      <c r="H22" t="inlineStr">
        <is>
          <t>PO-88184</t>
        </is>
      </c>
      <c r="I22" t="inlineStr">
        <is>
          <t>E-1035</t>
        </is>
      </c>
      <c r="J22" t="inlineStr">
        <is>
          <t>Monthly invoice</t>
        </is>
      </c>
    </row>
    <row r="23">
      <c r="A23" t="inlineStr">
        <is>
          <t>TX-30154</t>
        </is>
      </c>
      <c r="B23" s="11" t="n">
        <v>46209</v>
      </c>
      <c r="C23" t="inlineStr">
        <is>
          <t>E-1016</t>
        </is>
      </c>
      <c r="D23" t="inlineStr">
        <is>
          <t>People</t>
        </is>
      </c>
      <c r="E23" t="inlineStr">
        <is>
          <t>V-1148</t>
        </is>
      </c>
      <c r="F23" t="inlineStr">
        <is>
          <t>Events</t>
        </is>
      </c>
      <c r="G23" s="12" t="n">
        <v>47.12</v>
      </c>
      <c r="H23" t="inlineStr"/>
      <c r="I23" t="inlineStr">
        <is>
          <t>E-1017</t>
        </is>
      </c>
      <c r="J23" t="inlineStr">
        <is>
          <t>Team offsite</t>
        </is>
      </c>
    </row>
    <row r="24">
      <c r="A24" t="inlineStr">
        <is>
          <t>TX-30161</t>
        </is>
      </c>
      <c r="B24" s="11" t="n">
        <v>46209</v>
      </c>
      <c r="C24" t="inlineStr">
        <is>
          <t>E-1011</t>
        </is>
      </c>
      <c r="D24" t="inlineStr">
        <is>
          <t>Engineering</t>
        </is>
      </c>
      <c r="E24" t="inlineStr">
        <is>
          <t>V-1148</t>
        </is>
      </c>
      <c r="F24" t="inlineStr">
        <is>
          <t>Events</t>
        </is>
      </c>
      <c r="G24" s="12" t="n">
        <v>425.85</v>
      </c>
      <c r="H24" t="inlineStr"/>
      <c r="I24" t="inlineStr">
        <is>
          <t>E-1040</t>
        </is>
      </c>
      <c r="J24" t="inlineStr">
        <is>
          <t>Monthly invoice</t>
        </is>
      </c>
    </row>
    <row r="25">
      <c r="A25" t="inlineStr">
        <is>
          <t>TX-30168</t>
        </is>
      </c>
      <c r="B25" s="11" t="n">
        <v>46209</v>
      </c>
      <c r="C25" t="inlineStr">
        <is>
          <t>E-1007</t>
        </is>
      </c>
      <c r="D25" t="inlineStr">
        <is>
          <t>Marketing</t>
        </is>
      </c>
      <c r="E25" t="inlineStr">
        <is>
          <t>V-1124</t>
        </is>
      </c>
      <c r="F25" t="inlineStr">
        <is>
          <t>Facilities</t>
        </is>
      </c>
      <c r="G25" s="12" t="n">
        <v>30.3</v>
      </c>
      <c r="H25" t="inlineStr"/>
      <c r="I25" t="inlineStr">
        <is>
          <t>E-1039</t>
        </is>
      </c>
      <c r="J25" t="inlineStr">
        <is>
          <t>Q3 renewal</t>
        </is>
      </c>
    </row>
    <row r="26">
      <c r="A26" t="inlineStr">
        <is>
          <t>TX-30175</t>
        </is>
      </c>
      <c r="B26" s="11" t="n">
        <v>46210</v>
      </c>
      <c r="C26" t="inlineStr">
        <is>
          <t>E-1034</t>
        </is>
      </c>
      <c r="D26" t="inlineStr">
        <is>
          <t>Marketing</t>
        </is>
      </c>
      <c r="E26" t="inlineStr">
        <is>
          <t>V-1165</t>
        </is>
      </c>
      <c r="F26" t="inlineStr">
        <is>
          <t>Insurance</t>
        </is>
      </c>
      <c r="G26" s="12" t="n">
        <v>15613.88</v>
      </c>
      <c r="H26" t="inlineStr">
        <is>
          <t>PO-88063</t>
        </is>
      </c>
      <c r="I26" t="inlineStr">
        <is>
          <t>E-1000</t>
        </is>
      </c>
      <c r="J26" t="inlineStr"/>
    </row>
    <row r="27">
      <c r="A27" t="inlineStr">
        <is>
          <t>TX-30182</t>
        </is>
      </c>
      <c r="B27" s="11" t="n">
        <v>46210</v>
      </c>
      <c r="C27" t="inlineStr">
        <is>
          <t>E-1025</t>
        </is>
      </c>
      <c r="D27" t="inlineStr">
        <is>
          <t>People</t>
        </is>
      </c>
      <c r="E27" t="inlineStr">
        <is>
          <t>V-1159</t>
        </is>
      </c>
      <c r="F27" t="inlineStr">
        <is>
          <t>Consulting</t>
        </is>
      </c>
      <c r="G27" s="12" t="n">
        <v>2322.52</v>
      </c>
      <c r="H27" t="inlineStr">
        <is>
          <t>PO-88142</t>
        </is>
      </c>
      <c r="I27" t="inlineStr">
        <is>
          <t>E-1037</t>
        </is>
      </c>
      <c r="J27" t="inlineStr">
        <is>
          <t>Ad hoc</t>
        </is>
      </c>
    </row>
    <row r="28">
      <c r="A28" t="inlineStr">
        <is>
          <t>TX-30189</t>
        </is>
      </c>
      <c r="B28" s="11" t="n">
        <v>46210</v>
      </c>
      <c r="C28" t="inlineStr">
        <is>
          <t>E-1039</t>
        </is>
      </c>
      <c r="D28" t="inlineStr">
        <is>
          <t>Operations</t>
        </is>
      </c>
      <c r="E28" t="inlineStr">
        <is>
          <t>V-1124</t>
        </is>
      </c>
      <c r="F28" t="inlineStr">
        <is>
          <t>Facilities</t>
        </is>
      </c>
      <c r="G28" s="12" t="n">
        <v>99.95999999999999</v>
      </c>
      <c r="H28" t="inlineStr"/>
      <c r="I28" t="inlineStr">
        <is>
          <t>E-1019</t>
        </is>
      </c>
      <c r="J28" t="inlineStr">
        <is>
          <t>Monthly invoice</t>
        </is>
      </c>
    </row>
    <row r="29">
      <c r="A29" t="inlineStr">
        <is>
          <t>TX-30196</t>
        </is>
      </c>
      <c r="B29" s="11" t="n">
        <v>46210</v>
      </c>
      <c r="C29" t="inlineStr">
        <is>
          <t>E-1024</t>
        </is>
      </c>
      <c r="D29" t="inlineStr">
        <is>
          <t>Operations</t>
        </is>
      </c>
      <c r="E29" t="inlineStr">
        <is>
          <t>V-1183</t>
        </is>
      </c>
      <c r="F29" t="inlineStr">
        <is>
          <t>Consulting</t>
        </is>
      </c>
      <c r="G29" s="12" t="n">
        <v>160.38</v>
      </c>
      <c r="H29" t="inlineStr"/>
      <c r="I29" t="inlineStr">
        <is>
          <t>E-1026</t>
        </is>
      </c>
      <c r="J29" t="inlineStr">
        <is>
          <t>Ad hoc</t>
        </is>
      </c>
    </row>
    <row r="30">
      <c r="A30" t="inlineStr">
        <is>
          <t>TX-30203</t>
        </is>
      </c>
      <c r="B30" s="11" t="n">
        <v>46210</v>
      </c>
      <c r="C30" t="inlineStr">
        <is>
          <t>E-1016</t>
        </is>
      </c>
      <c r="D30" t="inlineStr">
        <is>
          <t>People</t>
        </is>
      </c>
      <c r="E30" t="inlineStr">
        <is>
          <t>V-1185</t>
        </is>
      </c>
      <c r="F30" t="inlineStr">
        <is>
          <t>Facilities</t>
        </is>
      </c>
      <c r="G30" s="12" t="n">
        <v>920.04</v>
      </c>
      <c r="H30" t="inlineStr"/>
      <c r="I30" t="inlineStr">
        <is>
          <t>E-1017</t>
        </is>
      </c>
      <c r="J30" t="inlineStr">
        <is>
          <t>Ad hoc</t>
        </is>
      </c>
    </row>
    <row r="31">
      <c r="A31" t="inlineStr">
        <is>
          <t>TX-30210</t>
        </is>
      </c>
      <c r="B31" s="11" t="n">
        <v>46210</v>
      </c>
      <c r="C31" t="inlineStr">
        <is>
          <t>E-1023</t>
        </is>
      </c>
      <c r="D31" t="inlineStr">
        <is>
          <t>Sales</t>
        </is>
      </c>
      <c r="E31" t="inlineStr">
        <is>
          <t>V-1117</t>
        </is>
      </c>
      <c r="F31" t="inlineStr">
        <is>
          <t>Meals &amp; entertainment</t>
        </is>
      </c>
      <c r="G31" s="12" t="n">
        <v>623.55</v>
      </c>
      <c r="H31" t="inlineStr"/>
      <c r="I31" t="inlineStr">
        <is>
          <t>E-1037</t>
        </is>
      </c>
      <c r="J31" t="inlineStr">
        <is>
          <t>Team offsite</t>
        </is>
      </c>
    </row>
    <row r="32">
      <c r="A32" t="inlineStr">
        <is>
          <t>TX-30217</t>
        </is>
      </c>
      <c r="B32" s="11" t="n">
        <v>46211</v>
      </c>
      <c r="C32" t="inlineStr">
        <is>
          <t>E-1024</t>
        </is>
      </c>
      <c r="D32" t="inlineStr">
        <is>
          <t>Operations</t>
        </is>
      </c>
      <c r="E32" t="inlineStr">
        <is>
          <t>V-1187</t>
        </is>
      </c>
      <c r="F32" t="inlineStr">
        <is>
          <t>Consulting</t>
        </is>
      </c>
      <c r="G32" s="12" t="n">
        <v>4920.5</v>
      </c>
      <c r="H32" t="inlineStr"/>
      <c r="I32" t="inlineStr">
        <is>
          <t>E-1037</t>
        </is>
      </c>
      <c r="J32" t="inlineStr">
        <is>
          <t>Phase 2 advisory</t>
        </is>
      </c>
    </row>
    <row r="33">
      <c r="A33" t="inlineStr">
        <is>
          <t>TX-30224</t>
        </is>
      </c>
      <c r="B33" s="11" t="n">
        <v>46212</v>
      </c>
      <c r="C33" t="inlineStr">
        <is>
          <t>E-1023</t>
        </is>
      </c>
      <c r="D33" t="inlineStr">
        <is>
          <t>Sales</t>
        </is>
      </c>
      <c r="E33" t="inlineStr">
        <is>
          <t>V-1128</t>
        </is>
      </c>
      <c r="F33" t="inlineStr">
        <is>
          <t>Training</t>
        </is>
      </c>
      <c r="G33" s="12" t="n">
        <v>278.54</v>
      </c>
      <c r="H33" t="inlineStr"/>
      <c r="I33" t="inlineStr">
        <is>
          <t>E-1037</t>
        </is>
      </c>
      <c r="J33" t="inlineStr">
        <is>
          <t>Ad hoc</t>
        </is>
      </c>
    </row>
    <row r="34">
      <c r="A34" t="inlineStr">
        <is>
          <t>TX-30231</t>
        </is>
      </c>
      <c r="B34" s="11" t="n">
        <v>46212</v>
      </c>
      <c r="C34" t="inlineStr">
        <is>
          <t>E-1024</t>
        </is>
      </c>
      <c r="D34" t="inlineStr">
        <is>
          <t>Operations</t>
        </is>
      </c>
      <c r="E34" t="inlineStr">
        <is>
          <t>V-1154</t>
        </is>
      </c>
      <c r="F34" t="inlineStr">
        <is>
          <t>Travel</t>
        </is>
      </c>
      <c r="G34" s="12" t="n">
        <v>2745.25</v>
      </c>
      <c r="H34" t="inlineStr">
        <is>
          <t>PO-88169</t>
        </is>
      </c>
      <c r="I34" t="inlineStr">
        <is>
          <t>E-1033</t>
        </is>
      </c>
      <c r="J34" t="inlineStr">
        <is>
          <t>Replacement</t>
        </is>
      </c>
    </row>
    <row r="35">
      <c r="A35" t="inlineStr">
        <is>
          <t>TX-30238</t>
        </is>
      </c>
      <c r="B35" s="11" t="n">
        <v>46212</v>
      </c>
      <c r="C35" t="inlineStr">
        <is>
          <t>E-1008</t>
        </is>
      </c>
      <c r="D35" t="inlineStr">
        <is>
          <t>People</t>
        </is>
      </c>
      <c r="E35" t="inlineStr">
        <is>
          <t>V-1139</t>
        </is>
      </c>
      <c r="F35" t="inlineStr">
        <is>
          <t>Meals &amp; entertainment</t>
        </is>
      </c>
      <c r="G35" s="12" t="n">
        <v>214.6</v>
      </c>
      <c r="H35" t="inlineStr"/>
      <c r="I35" t="inlineStr">
        <is>
          <t>E-1035</t>
        </is>
      </c>
      <c r="J35" t="inlineStr"/>
    </row>
    <row r="36">
      <c r="A36" t="inlineStr">
        <is>
          <t>TX-30245</t>
        </is>
      </c>
      <c r="B36" s="11" t="n">
        <v>46213</v>
      </c>
      <c r="C36" t="inlineStr">
        <is>
          <t>E-1007</t>
        </is>
      </c>
      <c r="D36" t="inlineStr">
        <is>
          <t>Marketing</t>
        </is>
      </c>
      <c r="E36" t="inlineStr">
        <is>
          <t>V-1121</t>
        </is>
      </c>
      <c r="F36" t="inlineStr">
        <is>
          <t>Software &amp; hosting</t>
        </is>
      </c>
      <c r="G36" s="12" t="n">
        <v>432.88</v>
      </c>
      <c r="H36" t="inlineStr"/>
      <c r="I36" t="inlineStr">
        <is>
          <t>E-1032</t>
        </is>
      </c>
      <c r="J36" t="inlineStr">
        <is>
          <t>Annual licence</t>
        </is>
      </c>
    </row>
    <row r="37">
      <c r="A37" t="inlineStr">
        <is>
          <t>TX-30252</t>
        </is>
      </c>
      <c r="B37" s="11" t="n">
        <v>46216</v>
      </c>
      <c r="C37" t="inlineStr">
        <is>
          <t>E-1019</t>
        </is>
      </c>
      <c r="D37" t="inlineStr">
        <is>
          <t>Engineering</t>
        </is>
      </c>
      <c r="E37" t="inlineStr">
        <is>
          <t>V-1143</t>
        </is>
      </c>
      <c r="F37" t="inlineStr">
        <is>
          <t>Marketing</t>
        </is>
      </c>
      <c r="G37" s="12" t="n">
        <v>437.47</v>
      </c>
      <c r="H37" t="inlineStr"/>
      <c r="I37" t="inlineStr">
        <is>
          <t>E-1009</t>
        </is>
      </c>
      <c r="J37" t="inlineStr">
        <is>
          <t>Client meeting</t>
        </is>
      </c>
    </row>
    <row r="38">
      <c r="A38" t="inlineStr">
        <is>
          <t>TX-30259</t>
        </is>
      </c>
      <c r="B38" s="11" t="n">
        <v>46216</v>
      </c>
      <c r="C38" t="inlineStr">
        <is>
          <t>E-1005</t>
        </is>
      </c>
      <c r="D38" t="inlineStr">
        <is>
          <t>Sales</t>
        </is>
      </c>
      <c r="E38" t="inlineStr">
        <is>
          <t>V-1165</t>
        </is>
      </c>
      <c r="F38" t="inlineStr">
        <is>
          <t>Insurance</t>
        </is>
      </c>
      <c r="G38" s="12" t="n">
        <v>2729.28</v>
      </c>
      <c r="H38" t="inlineStr">
        <is>
          <t>PO-88341</t>
        </is>
      </c>
      <c r="I38" t="inlineStr">
        <is>
          <t>E-1040</t>
        </is>
      </c>
      <c r="J38" t="inlineStr"/>
    </row>
    <row r="39">
      <c r="A39" t="inlineStr">
        <is>
          <t>TX-30266</t>
        </is>
      </c>
      <c r="B39" s="11" t="n">
        <v>46217</v>
      </c>
      <c r="C39" t="inlineStr">
        <is>
          <t>E-1034</t>
        </is>
      </c>
      <c r="D39" t="inlineStr">
        <is>
          <t>Marketing</t>
        </is>
      </c>
      <c r="E39" t="inlineStr">
        <is>
          <t>V-1121</t>
        </is>
      </c>
      <c r="F39" t="inlineStr">
        <is>
          <t>Software &amp; hosting</t>
        </is>
      </c>
      <c r="G39" s="12" t="n">
        <v>173.4</v>
      </c>
      <c r="H39" t="inlineStr"/>
      <c r="I39" t="inlineStr">
        <is>
          <t>E-1019</t>
        </is>
      </c>
      <c r="J39" t="inlineStr">
        <is>
          <t>Ad hoc</t>
        </is>
      </c>
    </row>
    <row r="40">
      <c r="A40" t="inlineStr">
        <is>
          <t>TX-30273</t>
        </is>
      </c>
      <c r="B40" s="11" t="n">
        <v>46217</v>
      </c>
      <c r="C40" t="inlineStr">
        <is>
          <t>E-1017</t>
        </is>
      </c>
      <c r="D40" t="inlineStr">
        <is>
          <t>Sales</t>
        </is>
      </c>
      <c r="E40" t="inlineStr">
        <is>
          <t>V-1143</t>
        </is>
      </c>
      <c r="F40" t="inlineStr">
        <is>
          <t>Marketing</t>
        </is>
      </c>
      <c r="G40" s="12" t="n">
        <v>248.11</v>
      </c>
      <c r="H40" t="inlineStr"/>
      <c r="I40" t="inlineStr">
        <is>
          <t>E-1012</t>
        </is>
      </c>
      <c r="J40" t="inlineStr">
        <is>
          <t>Team offsite</t>
        </is>
      </c>
    </row>
    <row r="41">
      <c r="A41" t="inlineStr">
        <is>
          <t>TX-30280</t>
        </is>
      </c>
      <c r="B41" s="11" t="n">
        <v>46217</v>
      </c>
      <c r="C41" t="inlineStr">
        <is>
          <t>E-1020</t>
        </is>
      </c>
      <c r="D41" t="inlineStr">
        <is>
          <t>Facilities</t>
        </is>
      </c>
      <c r="E41" t="inlineStr">
        <is>
          <t>V-1124</t>
        </is>
      </c>
      <c r="F41" t="inlineStr">
        <is>
          <t>Facilities</t>
        </is>
      </c>
      <c r="G41" s="12" t="n">
        <v>435.82</v>
      </c>
      <c r="H41" t="inlineStr"/>
      <c r="I41" t="inlineStr">
        <is>
          <t>E-1032</t>
        </is>
      </c>
      <c r="J41" t="inlineStr">
        <is>
          <t>Annual licence</t>
        </is>
      </c>
    </row>
    <row r="42">
      <c r="A42" t="inlineStr">
        <is>
          <t>TX-30287</t>
        </is>
      </c>
      <c r="B42" s="11" t="n">
        <v>46217</v>
      </c>
      <c r="C42" t="inlineStr">
        <is>
          <t>E-1028</t>
        </is>
      </c>
      <c r="D42" t="inlineStr">
        <is>
          <t>Engineering</t>
        </is>
      </c>
      <c r="E42" t="inlineStr">
        <is>
          <t>V-1106</t>
        </is>
      </c>
      <c r="F42" t="inlineStr">
        <is>
          <t>Software &amp; hosting</t>
        </is>
      </c>
      <c r="G42" s="12" t="n">
        <v>398</v>
      </c>
      <c r="H42" t="inlineStr"/>
      <c r="I42" t="inlineStr">
        <is>
          <t>E-1033</t>
        </is>
      </c>
      <c r="J42" t="inlineStr">
        <is>
          <t>Annual licence</t>
        </is>
      </c>
    </row>
    <row r="43">
      <c r="A43" t="inlineStr">
        <is>
          <t>TX-30294</t>
        </is>
      </c>
      <c r="B43" s="11" t="n">
        <v>46217</v>
      </c>
      <c r="C43" t="inlineStr">
        <is>
          <t>E-1028</t>
        </is>
      </c>
      <c r="D43" t="inlineStr">
        <is>
          <t>Engineering</t>
        </is>
      </c>
      <c r="E43" t="inlineStr">
        <is>
          <t>V-1102</t>
        </is>
      </c>
      <c r="F43" t="inlineStr">
        <is>
          <t>Office supplies</t>
        </is>
      </c>
      <c r="G43" s="12" t="n">
        <v>4880</v>
      </c>
      <c r="H43" t="inlineStr">
        <is>
          <t>PO-88363</t>
        </is>
      </c>
      <c r="I43" t="inlineStr">
        <is>
          <t>E-1035</t>
        </is>
      </c>
      <c r="J43" t="inlineStr">
        <is>
          <t>Bulk furniture order</t>
        </is>
      </c>
    </row>
    <row r="44">
      <c r="A44" t="inlineStr">
        <is>
          <t>TX-30301</t>
        </is>
      </c>
      <c r="B44" s="11" t="n">
        <v>46218</v>
      </c>
      <c r="C44" t="inlineStr">
        <is>
          <t>E-1007</t>
        </is>
      </c>
      <c r="D44" t="inlineStr">
        <is>
          <t>Marketing</t>
        </is>
      </c>
      <c r="E44" t="inlineStr">
        <is>
          <t>V-1154</t>
        </is>
      </c>
      <c r="F44" t="inlineStr">
        <is>
          <t>Travel</t>
        </is>
      </c>
      <c r="G44" s="12" t="n">
        <v>1453.46</v>
      </c>
      <c r="H44" t="inlineStr">
        <is>
          <t>PO-88154</t>
        </is>
      </c>
      <c r="I44" t="inlineStr">
        <is>
          <t>E-1012</t>
        </is>
      </c>
      <c r="J44" t="inlineStr">
        <is>
          <t>Client meeting</t>
        </is>
      </c>
    </row>
    <row r="45">
      <c r="A45" t="inlineStr">
        <is>
          <t>TX-30308</t>
        </is>
      </c>
      <c r="B45" s="11" t="n">
        <v>46219</v>
      </c>
      <c r="C45" t="inlineStr">
        <is>
          <t>E-1002</t>
        </is>
      </c>
      <c r="D45" t="inlineStr">
        <is>
          <t>Operations</t>
        </is>
      </c>
      <c r="E45" t="inlineStr">
        <is>
          <t>V-1170</t>
        </is>
      </c>
      <c r="F45" t="inlineStr">
        <is>
          <t>Marketing</t>
        </is>
      </c>
      <c r="G45" s="12" t="n">
        <v>237.38</v>
      </c>
      <c r="H45" t="inlineStr"/>
      <c r="I45" t="inlineStr">
        <is>
          <t>E-1035</t>
        </is>
      </c>
      <c r="J45" t="inlineStr">
        <is>
          <t>Annual licence</t>
        </is>
      </c>
    </row>
    <row r="46">
      <c r="A46" t="inlineStr">
        <is>
          <t>TX-30315</t>
        </is>
      </c>
      <c r="B46" s="11" t="n">
        <v>46219</v>
      </c>
      <c r="C46" t="inlineStr">
        <is>
          <t>E-1020</t>
        </is>
      </c>
      <c r="D46" t="inlineStr">
        <is>
          <t>Facilities</t>
        </is>
      </c>
      <c r="E46" t="inlineStr">
        <is>
          <t>V-1124</t>
        </is>
      </c>
      <c r="F46" t="inlineStr">
        <is>
          <t>Facilities</t>
        </is>
      </c>
      <c r="G46" s="12" t="n">
        <v>1661.31</v>
      </c>
      <c r="H46" t="inlineStr">
        <is>
          <t>PO-88045</t>
        </is>
      </c>
      <c r="I46" t="inlineStr">
        <is>
          <t>E-1035</t>
        </is>
      </c>
      <c r="J46" t="inlineStr">
        <is>
          <t>Team offsite</t>
        </is>
      </c>
    </row>
    <row r="47">
      <c r="A47" t="inlineStr">
        <is>
          <t>TX-30322</t>
        </is>
      </c>
      <c r="B47" s="11" t="n">
        <v>46219</v>
      </c>
      <c r="C47" t="inlineStr">
        <is>
          <t>E-1034</t>
        </is>
      </c>
      <c r="D47" t="inlineStr">
        <is>
          <t>Marketing</t>
        </is>
      </c>
      <c r="E47" t="inlineStr">
        <is>
          <t>V-1148</t>
        </is>
      </c>
      <c r="F47" t="inlineStr">
        <is>
          <t>Events</t>
        </is>
      </c>
      <c r="G47" s="12" t="n">
        <v>338.2</v>
      </c>
      <c r="H47" t="inlineStr"/>
      <c r="I47" t="inlineStr">
        <is>
          <t>E-1032</t>
        </is>
      </c>
      <c r="J47" t="inlineStr"/>
    </row>
    <row r="48">
      <c r="A48" t="inlineStr">
        <is>
          <t>TX-30329</t>
        </is>
      </c>
      <c r="B48" s="11" t="n">
        <v>46219</v>
      </c>
      <c r="C48" t="inlineStr">
        <is>
          <t>E-1001</t>
        </is>
      </c>
      <c r="D48" t="inlineStr">
        <is>
          <t>Operations</t>
        </is>
      </c>
      <c r="E48" t="inlineStr">
        <is>
          <t>V-1102</t>
        </is>
      </c>
      <c r="F48" t="inlineStr">
        <is>
          <t>Office supplies</t>
        </is>
      </c>
      <c r="G48" s="12" t="n">
        <v>182.84</v>
      </c>
      <c r="H48" t="inlineStr"/>
      <c r="I48" t="inlineStr">
        <is>
          <t>E-1033</t>
        </is>
      </c>
      <c r="J48" t="inlineStr">
        <is>
          <t>Replacement</t>
        </is>
      </c>
    </row>
    <row r="49">
      <c r="A49" t="inlineStr">
        <is>
          <t>TX-30336</t>
        </is>
      </c>
      <c r="B49" s="11" t="n">
        <v>46219</v>
      </c>
      <c r="C49" t="inlineStr">
        <is>
          <t>E-1027</t>
        </is>
      </c>
      <c r="D49" t="inlineStr">
        <is>
          <t>Finance</t>
        </is>
      </c>
      <c r="E49" t="inlineStr">
        <is>
          <t>V-1159</t>
        </is>
      </c>
      <c r="F49" t="inlineStr">
        <is>
          <t>Consulting</t>
        </is>
      </c>
      <c r="G49" s="12" t="n">
        <v>1132.77</v>
      </c>
      <c r="H49" t="inlineStr">
        <is>
          <t>PO-88298</t>
        </is>
      </c>
      <c r="I49" t="inlineStr">
        <is>
          <t>E-1040</t>
        </is>
      </c>
      <c r="J49" t="inlineStr"/>
    </row>
    <row r="50">
      <c r="A50" t="inlineStr">
        <is>
          <t>TX-30343</t>
        </is>
      </c>
      <c r="B50" s="11" t="n">
        <v>46219</v>
      </c>
      <c r="C50" t="inlineStr">
        <is>
          <t>E-1038</t>
        </is>
      </c>
      <c r="D50" t="inlineStr">
        <is>
          <t>Marketing</t>
        </is>
      </c>
      <c r="E50" t="inlineStr">
        <is>
          <t>V-1154</t>
        </is>
      </c>
      <c r="F50" t="inlineStr">
        <is>
          <t>Travel</t>
        </is>
      </c>
      <c r="G50" s="12" t="n">
        <v>396.59</v>
      </c>
      <c r="H50" t="inlineStr"/>
      <c r="I50" t="inlineStr">
        <is>
          <t>E-1033</t>
        </is>
      </c>
      <c r="J50" t="inlineStr">
        <is>
          <t>Team offsite</t>
        </is>
      </c>
    </row>
    <row r="51">
      <c r="A51" t="inlineStr">
        <is>
          <t>TX-30350</t>
        </is>
      </c>
      <c r="B51" s="11" t="n">
        <v>46220</v>
      </c>
      <c r="C51" t="inlineStr">
        <is>
          <t>E-1008</t>
        </is>
      </c>
      <c r="D51" t="inlineStr">
        <is>
          <t>People</t>
        </is>
      </c>
      <c r="E51" t="inlineStr">
        <is>
          <t>V-1148</t>
        </is>
      </c>
      <c r="F51" t="inlineStr">
        <is>
          <t>Events</t>
        </is>
      </c>
      <c r="G51" s="12" t="n">
        <v>163.99</v>
      </c>
      <c r="H51" t="inlineStr"/>
      <c r="I51" t="inlineStr">
        <is>
          <t>E-1035</t>
        </is>
      </c>
      <c r="J51" t="inlineStr">
        <is>
          <t>Replacement</t>
        </is>
      </c>
    </row>
    <row r="52">
      <c r="A52" t="inlineStr">
        <is>
          <t>TX-30357</t>
        </is>
      </c>
      <c r="B52" s="11" t="n">
        <v>46223</v>
      </c>
      <c r="C52" t="inlineStr">
        <is>
          <t>E-1027</t>
        </is>
      </c>
      <c r="D52" t="inlineStr">
        <is>
          <t>Finance</t>
        </is>
      </c>
      <c r="E52" t="inlineStr">
        <is>
          <t>V-1172</t>
        </is>
      </c>
      <c r="F52" t="inlineStr">
        <is>
          <t>Marketing</t>
        </is>
      </c>
      <c r="G52" s="12" t="n">
        <v>2323.14</v>
      </c>
      <c r="H52" t="inlineStr">
        <is>
          <t>PO-88017</t>
        </is>
      </c>
      <c r="I52" t="inlineStr">
        <is>
          <t>E-1035</t>
        </is>
      </c>
      <c r="J52" t="inlineStr"/>
    </row>
    <row r="53">
      <c r="A53" t="inlineStr">
        <is>
          <t>TX-30364</t>
        </is>
      </c>
      <c r="B53" s="11" t="n">
        <v>46223</v>
      </c>
      <c r="C53" t="inlineStr">
        <is>
          <t>E-1003</t>
        </is>
      </c>
      <c r="D53" t="inlineStr">
        <is>
          <t>People</t>
        </is>
      </c>
      <c r="E53" t="inlineStr">
        <is>
          <t>V-1172</t>
        </is>
      </c>
      <c r="F53" t="inlineStr">
        <is>
          <t>Marketing</t>
        </is>
      </c>
      <c r="G53" s="12" t="n">
        <v>416.08</v>
      </c>
      <c r="H53" t="inlineStr"/>
      <c r="I53" t="inlineStr">
        <is>
          <t>E-1037</t>
        </is>
      </c>
      <c r="J53" t="inlineStr">
        <is>
          <t>Replacement</t>
        </is>
      </c>
    </row>
    <row r="54">
      <c r="A54" t="inlineStr">
        <is>
          <t>TX-30371</t>
        </is>
      </c>
      <c r="B54" s="11" t="n">
        <v>46223</v>
      </c>
      <c r="C54" t="inlineStr">
        <is>
          <t>E-1038</t>
        </is>
      </c>
      <c r="D54" t="inlineStr">
        <is>
          <t>Marketing</t>
        </is>
      </c>
      <c r="E54" t="inlineStr">
        <is>
          <t>V-1170</t>
        </is>
      </c>
      <c r="F54" t="inlineStr">
        <is>
          <t>Marketing</t>
        </is>
      </c>
      <c r="G54" s="12" t="n">
        <v>390.25</v>
      </c>
      <c r="H54" t="inlineStr"/>
      <c r="I54" t="inlineStr">
        <is>
          <t>E-1009</t>
        </is>
      </c>
      <c r="J54" t="inlineStr">
        <is>
          <t>Team offsite</t>
        </is>
      </c>
    </row>
    <row r="55">
      <c r="A55" t="inlineStr">
        <is>
          <t>TX-30378</t>
        </is>
      </c>
      <c r="B55" s="11" t="n">
        <v>46223</v>
      </c>
      <c r="C55" t="inlineStr">
        <is>
          <t>E-1027</t>
        </is>
      </c>
      <c r="D55" t="inlineStr">
        <is>
          <t>Finance</t>
        </is>
      </c>
      <c r="E55" t="inlineStr">
        <is>
          <t>V-1114</t>
        </is>
      </c>
      <c r="F55" t="inlineStr">
        <is>
          <t>Travel</t>
        </is>
      </c>
      <c r="G55" s="12" t="n">
        <v>316.3</v>
      </c>
      <c r="H55" t="inlineStr"/>
      <c r="I55" t="inlineStr">
        <is>
          <t>E-1012</t>
        </is>
      </c>
      <c r="J55" t="inlineStr"/>
    </row>
    <row r="56">
      <c r="A56" t="inlineStr">
        <is>
          <t>TX-30385</t>
        </is>
      </c>
      <c r="B56" s="11" t="n">
        <v>46223</v>
      </c>
      <c r="C56" t="inlineStr">
        <is>
          <t>E-1007</t>
        </is>
      </c>
      <c r="D56" t="inlineStr">
        <is>
          <t>Marketing</t>
        </is>
      </c>
      <c r="E56" t="inlineStr">
        <is>
          <t>V-1165</t>
        </is>
      </c>
      <c r="F56" t="inlineStr">
        <is>
          <t>Insurance</t>
        </is>
      </c>
      <c r="G56" s="12" t="n">
        <v>3107.54</v>
      </c>
      <c r="H56" t="inlineStr">
        <is>
          <t>PO-88243</t>
        </is>
      </c>
      <c r="I56" t="inlineStr">
        <is>
          <t>E-1032</t>
        </is>
      </c>
      <c r="J56" t="inlineStr">
        <is>
          <t>Client meeting</t>
        </is>
      </c>
    </row>
    <row r="57">
      <c r="A57" t="inlineStr">
        <is>
          <t>TX-30392</t>
        </is>
      </c>
      <c r="B57" s="11" t="n">
        <v>46223</v>
      </c>
      <c r="C57" t="inlineStr">
        <is>
          <t>E-1024</t>
        </is>
      </c>
      <c r="D57" t="inlineStr">
        <is>
          <t>Operations</t>
        </is>
      </c>
      <c r="E57" t="inlineStr">
        <is>
          <t>V-1114</t>
        </is>
      </c>
      <c r="F57" t="inlineStr">
        <is>
          <t>Travel</t>
        </is>
      </c>
      <c r="G57" s="12" t="n">
        <v>779.85</v>
      </c>
      <c r="H57" t="inlineStr"/>
      <c r="I57" t="inlineStr">
        <is>
          <t>E-1037</t>
        </is>
      </c>
      <c r="J57" t="inlineStr">
        <is>
          <t>Client meeting</t>
        </is>
      </c>
    </row>
    <row r="58">
      <c r="A58" t="inlineStr">
        <is>
          <t>TX-30399</t>
        </is>
      </c>
      <c r="B58" s="11" t="n">
        <v>46223</v>
      </c>
      <c r="C58" t="inlineStr">
        <is>
          <t>E-1007</t>
        </is>
      </c>
      <c r="D58" t="inlineStr">
        <is>
          <t>Marketing</t>
        </is>
      </c>
      <c r="E58" t="inlineStr">
        <is>
          <t>V-1187</t>
        </is>
      </c>
      <c r="F58" t="inlineStr">
        <is>
          <t>Consulting</t>
        </is>
      </c>
      <c r="G58" s="12" t="n">
        <v>4790.25</v>
      </c>
      <c r="H58" t="inlineStr"/>
      <c r="I58" t="inlineStr">
        <is>
          <t>E-1032</t>
        </is>
      </c>
      <c r="J58" t="inlineStr">
        <is>
          <t>Workshop facilitation</t>
        </is>
      </c>
    </row>
    <row r="59">
      <c r="A59" t="inlineStr">
        <is>
          <t>TX-30406</t>
        </is>
      </c>
      <c r="B59" s="11" t="n">
        <v>46224</v>
      </c>
      <c r="C59" t="inlineStr">
        <is>
          <t>E-1008</t>
        </is>
      </c>
      <c r="D59" t="inlineStr">
        <is>
          <t>People</t>
        </is>
      </c>
      <c r="E59" t="inlineStr">
        <is>
          <t>V-1124</t>
        </is>
      </c>
      <c r="F59" t="inlineStr">
        <is>
          <t>Facilities</t>
        </is>
      </c>
      <c r="G59" s="12" t="n">
        <v>1423.32</v>
      </c>
      <c r="H59" t="inlineStr">
        <is>
          <t>PO-88048</t>
        </is>
      </c>
      <c r="I59" t="inlineStr">
        <is>
          <t>E-1039</t>
        </is>
      </c>
      <c r="J59" t="inlineStr">
        <is>
          <t>Q3 renewal</t>
        </is>
      </c>
    </row>
    <row r="60">
      <c r="A60" t="inlineStr">
        <is>
          <t>TX-30413</t>
        </is>
      </c>
      <c r="B60" s="11" t="n">
        <v>46224</v>
      </c>
      <c r="C60" t="inlineStr">
        <is>
          <t>E-1017</t>
        </is>
      </c>
      <c r="D60" t="inlineStr">
        <is>
          <t>Sales</t>
        </is>
      </c>
      <c r="E60" t="inlineStr">
        <is>
          <t>V-1109</t>
        </is>
      </c>
      <c r="F60" t="inlineStr">
        <is>
          <t>Shipping</t>
        </is>
      </c>
      <c r="G60" s="12" t="n">
        <v>411.24</v>
      </c>
      <c r="H60" t="inlineStr"/>
      <c r="I60" t="inlineStr">
        <is>
          <t>E-1022</t>
        </is>
      </c>
      <c r="J60" t="inlineStr">
        <is>
          <t>Annual licence</t>
        </is>
      </c>
    </row>
    <row r="61">
      <c r="A61" t="inlineStr">
        <is>
          <t>TX-30420</t>
        </is>
      </c>
      <c r="B61" s="11" t="n">
        <v>46224</v>
      </c>
      <c r="C61" t="inlineStr">
        <is>
          <t>E-1024</t>
        </is>
      </c>
      <c r="D61" t="inlineStr">
        <is>
          <t>Operations</t>
        </is>
      </c>
      <c r="E61" t="inlineStr">
        <is>
          <t>V-1124</t>
        </is>
      </c>
      <c r="F61" t="inlineStr">
        <is>
          <t>Facilities</t>
        </is>
      </c>
      <c r="G61" s="12" t="n">
        <v>49.05</v>
      </c>
      <c r="H61" t="inlineStr"/>
      <c r="I61" t="inlineStr">
        <is>
          <t>E-1012</t>
        </is>
      </c>
      <c r="J61" t="inlineStr">
        <is>
          <t>Team offsite</t>
        </is>
      </c>
    </row>
    <row r="62">
      <c r="A62" t="inlineStr">
        <is>
          <t>TX-30427</t>
        </is>
      </c>
      <c r="B62" s="11" t="n">
        <v>46224</v>
      </c>
      <c r="C62" t="inlineStr">
        <is>
          <t>E-1002</t>
        </is>
      </c>
      <c r="D62" t="inlineStr">
        <is>
          <t>Operations</t>
        </is>
      </c>
      <c r="E62" t="inlineStr">
        <is>
          <t>V-1178</t>
        </is>
      </c>
      <c r="F62" t="inlineStr">
        <is>
          <t>Utilities</t>
        </is>
      </c>
      <c r="G62" s="12" t="n">
        <v>1258.39</v>
      </c>
      <c r="H62" t="inlineStr">
        <is>
          <t>PO-88164</t>
        </is>
      </c>
      <c r="I62" t="inlineStr">
        <is>
          <t>E-1035</t>
        </is>
      </c>
      <c r="J62" t="inlineStr">
        <is>
          <t>Monthly invoice</t>
        </is>
      </c>
    </row>
    <row r="63">
      <c r="A63" t="inlineStr">
        <is>
          <t>TX-30434</t>
        </is>
      </c>
      <c r="B63" s="11" t="n">
        <v>46225</v>
      </c>
      <c r="C63" t="inlineStr">
        <is>
          <t>E-1022</t>
        </is>
      </c>
      <c r="D63" t="inlineStr">
        <is>
          <t>Facilities</t>
        </is>
      </c>
      <c r="E63" t="inlineStr">
        <is>
          <t>V-1161</t>
        </is>
      </c>
      <c r="F63" t="inlineStr">
        <is>
          <t>Marketing</t>
        </is>
      </c>
      <c r="G63" s="12" t="n">
        <v>343.68</v>
      </c>
      <c r="H63" t="inlineStr"/>
      <c r="I63" t="inlineStr">
        <is>
          <t>E-1040</t>
        </is>
      </c>
      <c r="J63" t="inlineStr">
        <is>
          <t>Client meeting</t>
        </is>
      </c>
    </row>
    <row r="64">
      <c r="A64" t="inlineStr">
        <is>
          <t>TX-30441</t>
        </is>
      </c>
      <c r="B64" s="11" t="n">
        <v>46225</v>
      </c>
      <c r="C64" t="inlineStr">
        <is>
          <t>E-1017</t>
        </is>
      </c>
      <c r="D64" t="inlineStr">
        <is>
          <t>Sales</t>
        </is>
      </c>
      <c r="E64" t="inlineStr">
        <is>
          <t>V-1124</t>
        </is>
      </c>
      <c r="F64" t="inlineStr">
        <is>
          <t>Facilities</t>
        </is>
      </c>
      <c r="G64" s="12" t="n">
        <v>51.9</v>
      </c>
      <c r="H64" t="inlineStr"/>
      <c r="I64" t="inlineStr">
        <is>
          <t>E-1026</t>
        </is>
      </c>
      <c r="J64" t="inlineStr">
        <is>
          <t>Annual licence</t>
        </is>
      </c>
    </row>
    <row r="65">
      <c r="A65" t="inlineStr">
        <is>
          <t>TX-30448</t>
        </is>
      </c>
      <c r="B65" s="11" t="n">
        <v>46225</v>
      </c>
      <c r="C65" t="inlineStr">
        <is>
          <t>E-1005</t>
        </is>
      </c>
      <c r="D65" t="inlineStr">
        <is>
          <t>Sales</t>
        </is>
      </c>
      <c r="E65" t="inlineStr">
        <is>
          <t>V-1106</t>
        </is>
      </c>
      <c r="F65" t="inlineStr">
        <is>
          <t>Software &amp; hosting</t>
        </is>
      </c>
      <c r="G65" s="12" t="n">
        <v>425.13</v>
      </c>
      <c r="H65" t="inlineStr"/>
      <c r="I65" t="inlineStr">
        <is>
          <t>E-1026</t>
        </is>
      </c>
      <c r="J65" t="inlineStr"/>
    </row>
    <row r="66">
      <c r="A66" t="inlineStr">
        <is>
          <t>TX-30455</t>
        </is>
      </c>
      <c r="B66" s="11" t="n">
        <v>46226</v>
      </c>
      <c r="C66" t="inlineStr">
        <is>
          <t>E-1009</t>
        </is>
      </c>
      <c r="D66" t="inlineStr">
        <is>
          <t>Facilities</t>
        </is>
      </c>
      <c r="E66" t="inlineStr">
        <is>
          <t>V-1121</t>
        </is>
      </c>
      <c r="F66" t="inlineStr">
        <is>
          <t>Software &amp; hosting</t>
        </is>
      </c>
      <c r="G66" s="12" t="n">
        <v>248.66</v>
      </c>
      <c r="H66" t="inlineStr"/>
      <c r="I66" t="inlineStr">
        <is>
          <t>E-1032</t>
        </is>
      </c>
      <c r="J66" t="inlineStr">
        <is>
          <t>Annual licence</t>
        </is>
      </c>
    </row>
    <row r="67">
      <c r="A67" t="inlineStr">
        <is>
          <t>TX-30462</t>
        </is>
      </c>
      <c r="B67" s="11" t="n">
        <v>46226</v>
      </c>
      <c r="C67" t="inlineStr">
        <is>
          <t>E-1034</t>
        </is>
      </c>
      <c r="D67" t="inlineStr">
        <is>
          <t>Marketing</t>
        </is>
      </c>
      <c r="E67" t="inlineStr">
        <is>
          <t>V-1106</t>
        </is>
      </c>
      <c r="F67" t="inlineStr">
        <is>
          <t>Software &amp; hosting</t>
        </is>
      </c>
      <c r="G67" s="12" t="n">
        <v>87.63</v>
      </c>
      <c r="H67" t="inlineStr"/>
      <c r="I67" t="inlineStr">
        <is>
          <t>E-1039</t>
        </is>
      </c>
      <c r="J67" t="inlineStr">
        <is>
          <t>Team offsite</t>
        </is>
      </c>
    </row>
    <row r="68">
      <c r="A68" t="inlineStr">
        <is>
          <t>TX-30469</t>
        </is>
      </c>
      <c r="B68" s="11" t="n">
        <v>46226</v>
      </c>
      <c r="C68" t="inlineStr">
        <is>
          <t>E-1002</t>
        </is>
      </c>
      <c r="D68" t="inlineStr">
        <is>
          <t>Operations</t>
        </is>
      </c>
      <c r="E68" t="inlineStr">
        <is>
          <t>V-1106</t>
        </is>
      </c>
      <c r="F68" t="inlineStr">
        <is>
          <t>Software &amp; hosting</t>
        </is>
      </c>
      <c r="G68" s="12" t="n">
        <v>5749.52</v>
      </c>
      <c r="H68" t="inlineStr">
        <is>
          <t>PO-88241</t>
        </is>
      </c>
      <c r="I68" t="inlineStr">
        <is>
          <t>E-1000</t>
        </is>
      </c>
      <c r="J68" t="inlineStr"/>
    </row>
    <row r="69">
      <c r="A69" t="inlineStr">
        <is>
          <t>TX-30476</t>
        </is>
      </c>
      <c r="B69" s="11" t="n">
        <v>46227</v>
      </c>
      <c r="C69" t="inlineStr">
        <is>
          <t>E-1013</t>
        </is>
      </c>
      <c r="D69" t="inlineStr">
        <is>
          <t>Sales</t>
        </is>
      </c>
      <c r="E69" t="inlineStr">
        <is>
          <t>V-1124</t>
        </is>
      </c>
      <c r="F69" t="inlineStr">
        <is>
          <t>Facilities</t>
        </is>
      </c>
      <c r="G69" s="12" t="n">
        <v>3029.66</v>
      </c>
      <c r="H69" t="inlineStr">
        <is>
          <t>PO-88171</t>
        </is>
      </c>
      <c r="I69" t="inlineStr">
        <is>
          <t>E-1033</t>
        </is>
      </c>
      <c r="J69" t="inlineStr">
        <is>
          <t>Client meeting</t>
        </is>
      </c>
    </row>
    <row r="70">
      <c r="A70" t="inlineStr">
        <is>
          <t>TX-30483</t>
        </is>
      </c>
      <c r="B70" s="11" t="n">
        <v>46227</v>
      </c>
      <c r="C70" t="inlineStr">
        <is>
          <t>E-1014</t>
        </is>
      </c>
      <c r="D70" t="inlineStr">
        <is>
          <t>Marketing</t>
        </is>
      </c>
      <c r="E70" t="inlineStr">
        <is>
          <t>V-1165</t>
        </is>
      </c>
      <c r="F70" t="inlineStr">
        <is>
          <t>Insurance</t>
        </is>
      </c>
      <c r="G70" s="12" t="n">
        <v>260.52</v>
      </c>
      <c r="H70" t="inlineStr"/>
      <c r="I70" t="inlineStr">
        <is>
          <t>E-1035</t>
        </is>
      </c>
      <c r="J70" t="inlineStr">
        <is>
          <t>Team offsite</t>
        </is>
      </c>
    </row>
    <row r="71">
      <c r="A71" t="inlineStr">
        <is>
          <t>TX-30490</t>
        </is>
      </c>
      <c r="B71" s="11" t="n">
        <v>46230</v>
      </c>
      <c r="C71" t="inlineStr">
        <is>
          <t>E-1018</t>
        </is>
      </c>
      <c r="D71" t="inlineStr">
        <is>
          <t>Operations</t>
        </is>
      </c>
      <c r="E71" t="inlineStr">
        <is>
          <t>V-1159</t>
        </is>
      </c>
      <c r="F71" t="inlineStr">
        <is>
          <t>Consulting</t>
        </is>
      </c>
      <c r="G71" s="12" t="n">
        <v>1792.47</v>
      </c>
      <c r="H71" t="inlineStr">
        <is>
          <t>PO-88050</t>
        </is>
      </c>
      <c r="I71" t="inlineStr">
        <is>
          <t>E-1017</t>
        </is>
      </c>
      <c r="J71" t="inlineStr">
        <is>
          <t>Ad hoc</t>
        </is>
      </c>
    </row>
    <row r="72">
      <c r="A72" t="inlineStr">
        <is>
          <t>TX-30497</t>
        </is>
      </c>
      <c r="B72" s="11" t="n">
        <v>46231</v>
      </c>
      <c r="C72" t="inlineStr">
        <is>
          <t>E-1013</t>
        </is>
      </c>
      <c r="D72" t="inlineStr">
        <is>
          <t>Sales</t>
        </is>
      </c>
      <c r="E72" t="inlineStr">
        <is>
          <t>V-1170</t>
        </is>
      </c>
      <c r="F72" t="inlineStr">
        <is>
          <t>Marketing</t>
        </is>
      </c>
      <c r="G72" s="12" t="n">
        <v>16.99</v>
      </c>
      <c r="H72" t="inlineStr"/>
      <c r="I72" t="inlineStr">
        <is>
          <t>E-1012</t>
        </is>
      </c>
      <c r="J72" t="inlineStr">
        <is>
          <t>Monthly invoice</t>
        </is>
      </c>
    </row>
    <row r="73">
      <c r="A73" t="inlineStr">
        <is>
          <t>TX-30504</t>
        </is>
      </c>
      <c r="B73" s="11" t="n">
        <v>46231</v>
      </c>
      <c r="C73" t="inlineStr">
        <is>
          <t>E-1040</t>
        </is>
      </c>
      <c r="D73" t="inlineStr">
        <is>
          <t>Operations</t>
        </is>
      </c>
      <c r="E73" t="inlineStr">
        <is>
          <t>V-1170</t>
        </is>
      </c>
      <c r="F73" t="inlineStr">
        <is>
          <t>Marketing</t>
        </is>
      </c>
      <c r="G73" s="12" t="n">
        <v>969.9</v>
      </c>
      <c r="H73" t="inlineStr"/>
      <c r="I73" t="inlineStr">
        <is>
          <t>E-1037</t>
        </is>
      </c>
      <c r="J73" t="inlineStr">
        <is>
          <t>Q3 renewal</t>
        </is>
      </c>
    </row>
    <row r="74">
      <c r="A74" t="inlineStr">
        <is>
          <t>TX-30511</t>
        </is>
      </c>
      <c r="B74" s="11" t="n">
        <v>46231</v>
      </c>
      <c r="C74" t="inlineStr">
        <is>
          <t>E-1005</t>
        </is>
      </c>
      <c r="D74" t="inlineStr">
        <is>
          <t>Sales</t>
        </is>
      </c>
      <c r="E74" t="inlineStr">
        <is>
          <t>V-1106</t>
        </is>
      </c>
      <c r="F74" t="inlineStr">
        <is>
          <t>Software &amp; hosting</t>
        </is>
      </c>
      <c r="G74" s="12" t="n">
        <v>1882.24</v>
      </c>
      <c r="H74" t="inlineStr">
        <is>
          <t>PO-88078</t>
        </is>
      </c>
      <c r="I74" t="inlineStr">
        <is>
          <t>E-1040</t>
        </is>
      </c>
      <c r="J74" t="inlineStr">
        <is>
          <t>Client meeting</t>
        </is>
      </c>
    </row>
    <row r="75">
      <c r="A75" t="inlineStr">
        <is>
          <t>TX-30518</t>
        </is>
      </c>
      <c r="B75" s="11" t="n">
        <v>46231</v>
      </c>
      <c r="C75" t="inlineStr">
        <is>
          <t>E-1009</t>
        </is>
      </c>
      <c r="D75" t="inlineStr">
        <is>
          <t>Facilities</t>
        </is>
      </c>
      <c r="E75" t="inlineStr">
        <is>
          <t>V-1109</t>
        </is>
      </c>
      <c r="F75" t="inlineStr">
        <is>
          <t>Shipping</t>
        </is>
      </c>
      <c r="G75" s="12" t="n">
        <v>30.51</v>
      </c>
      <c r="H75" t="inlineStr"/>
      <c r="I75" t="inlineStr">
        <is>
          <t>E-1017</t>
        </is>
      </c>
      <c r="J75" t="inlineStr">
        <is>
          <t>Annual licence</t>
        </is>
      </c>
    </row>
    <row r="76">
      <c r="A76" t="inlineStr">
        <is>
          <t>TX-30525</t>
        </is>
      </c>
      <c r="B76" s="11" t="n">
        <v>46231</v>
      </c>
      <c r="C76" t="inlineStr">
        <is>
          <t>E-1032</t>
        </is>
      </c>
      <c r="D76" t="inlineStr">
        <is>
          <t>Sales</t>
        </is>
      </c>
      <c r="E76" t="inlineStr">
        <is>
          <t>V-1121</t>
        </is>
      </c>
      <c r="F76" t="inlineStr">
        <is>
          <t>Software &amp; hosting</t>
        </is>
      </c>
      <c r="G76" s="12" t="n">
        <v>34.42</v>
      </c>
      <c r="H76" t="inlineStr"/>
      <c r="I76" t="inlineStr">
        <is>
          <t>E-1033</t>
        </is>
      </c>
      <c r="J76" t="inlineStr">
        <is>
          <t>Client meeting</t>
        </is>
      </c>
    </row>
    <row r="77">
      <c r="A77" t="inlineStr">
        <is>
          <t>TX-30532</t>
        </is>
      </c>
      <c r="B77" s="11" t="n">
        <v>46231</v>
      </c>
      <c r="C77" t="inlineStr">
        <is>
          <t>E-1002</t>
        </is>
      </c>
      <c r="D77" t="inlineStr">
        <is>
          <t>Operations</t>
        </is>
      </c>
      <c r="E77" t="inlineStr">
        <is>
          <t>V-1144</t>
        </is>
      </c>
      <c r="F77" t="inlineStr">
        <is>
          <t>Travel</t>
        </is>
      </c>
      <c r="G77" s="12" t="n">
        <v>2292.62</v>
      </c>
      <c r="H77" t="inlineStr">
        <is>
          <t>PO-88325</t>
        </is>
      </c>
      <c r="I77" t="inlineStr">
        <is>
          <t>E-1039</t>
        </is>
      </c>
      <c r="J77" t="inlineStr">
        <is>
          <t>Q3 renewal</t>
        </is>
      </c>
    </row>
    <row r="78">
      <c r="A78" t="inlineStr">
        <is>
          <t>TX-30539</t>
        </is>
      </c>
      <c r="B78" s="11" t="n">
        <v>46232</v>
      </c>
      <c r="C78" t="inlineStr">
        <is>
          <t>E-1030</t>
        </is>
      </c>
      <c r="D78" t="inlineStr">
        <is>
          <t>Marketing</t>
        </is>
      </c>
      <c r="E78" t="inlineStr">
        <is>
          <t>V-1134</t>
        </is>
      </c>
      <c r="F78" t="inlineStr">
        <is>
          <t>Shipping</t>
        </is>
      </c>
      <c r="G78" s="12" t="n">
        <v>78.03</v>
      </c>
      <c r="H78" t="inlineStr"/>
      <c r="I78" t="inlineStr">
        <is>
          <t>E-1026</t>
        </is>
      </c>
      <c r="J78" t="inlineStr">
        <is>
          <t>Client meeting</t>
        </is>
      </c>
    </row>
    <row r="79">
      <c r="A79" t="inlineStr">
        <is>
          <t>TX-30546</t>
        </is>
      </c>
      <c r="B79" s="11" t="n">
        <v>46233</v>
      </c>
      <c r="C79" t="inlineStr">
        <is>
          <t>E-1003</t>
        </is>
      </c>
      <c r="D79" t="inlineStr">
        <is>
          <t>People</t>
        </is>
      </c>
      <c r="E79" t="inlineStr">
        <is>
          <t>V-1178</t>
        </is>
      </c>
      <c r="F79" t="inlineStr">
        <is>
          <t>Utilities</t>
        </is>
      </c>
      <c r="G79" s="12" t="n">
        <v>125.59</v>
      </c>
      <c r="H79" t="inlineStr"/>
      <c r="I79" t="inlineStr">
        <is>
          <t>E-1040</t>
        </is>
      </c>
      <c r="J79" t="inlineStr">
        <is>
          <t>Ad hoc</t>
        </is>
      </c>
    </row>
    <row r="80">
      <c r="A80" t="inlineStr">
        <is>
          <t>TX-30553</t>
        </is>
      </c>
      <c r="B80" s="11" t="n">
        <v>46233</v>
      </c>
      <c r="C80" t="inlineStr">
        <is>
          <t>E-1013</t>
        </is>
      </c>
      <c r="D80" t="inlineStr">
        <is>
          <t>Sales</t>
        </is>
      </c>
      <c r="E80" t="inlineStr">
        <is>
          <t>V-1170</t>
        </is>
      </c>
      <c r="F80" t="inlineStr">
        <is>
          <t>Marketing</t>
        </is>
      </c>
      <c r="G80" s="12" t="n">
        <v>159.65</v>
      </c>
      <c r="H80" t="inlineStr"/>
      <c r="I80" t="inlineStr">
        <is>
          <t>E-1022</t>
        </is>
      </c>
      <c r="J80" t="inlineStr">
        <is>
          <t>Annual licence</t>
        </is>
      </c>
    </row>
    <row r="81">
      <c r="A81" t="inlineStr">
        <is>
          <t>TX-30560</t>
        </is>
      </c>
      <c r="B81" s="11" t="n">
        <v>46233</v>
      </c>
      <c r="C81" t="inlineStr">
        <is>
          <t>E-1010</t>
        </is>
      </c>
      <c r="D81" t="inlineStr">
        <is>
          <t>Operations</t>
        </is>
      </c>
      <c r="E81" t="inlineStr">
        <is>
          <t>V-1139</t>
        </is>
      </c>
      <c r="F81" t="inlineStr">
        <is>
          <t>Meals &amp; entertainment</t>
        </is>
      </c>
      <c r="G81" s="12" t="n">
        <v>419.65</v>
      </c>
      <c r="H81" t="inlineStr"/>
      <c r="I81" t="inlineStr">
        <is>
          <t>E-1035</t>
        </is>
      </c>
      <c r="J81" t="inlineStr">
        <is>
          <t>Replacement</t>
        </is>
      </c>
    </row>
    <row r="82">
      <c r="A82" t="inlineStr">
        <is>
          <t>TX-30567</t>
        </is>
      </c>
      <c r="B82" s="11" t="n">
        <v>46233</v>
      </c>
      <c r="C82" t="inlineStr">
        <is>
          <t>E-1036</t>
        </is>
      </c>
      <c r="D82" t="inlineStr">
        <is>
          <t>Finance</t>
        </is>
      </c>
      <c r="E82" t="inlineStr">
        <is>
          <t>V-1159</t>
        </is>
      </c>
      <c r="F82" t="inlineStr">
        <is>
          <t>Consulting</t>
        </is>
      </c>
      <c r="G82" s="12" t="n">
        <v>355.38</v>
      </c>
      <c r="H82" t="inlineStr"/>
      <c r="I82" t="inlineStr">
        <is>
          <t>E-1017</t>
        </is>
      </c>
      <c r="J82" t="inlineStr">
        <is>
          <t>Q3 renewal</t>
        </is>
      </c>
    </row>
    <row r="83">
      <c r="A83" t="inlineStr">
        <is>
          <t>TX-30574</t>
        </is>
      </c>
      <c r="B83" s="11" t="n">
        <v>46233</v>
      </c>
      <c r="C83" t="inlineStr">
        <is>
          <t>E-1002</t>
        </is>
      </c>
      <c r="D83" t="inlineStr">
        <is>
          <t>Operations</t>
        </is>
      </c>
      <c r="E83" t="inlineStr">
        <is>
          <t>V-1161</t>
        </is>
      </c>
      <c r="F83" t="inlineStr">
        <is>
          <t>Marketing</t>
        </is>
      </c>
      <c r="G83" s="12" t="n">
        <v>2613.55</v>
      </c>
      <c r="H83" t="inlineStr">
        <is>
          <t>PO-88251</t>
        </is>
      </c>
      <c r="I83" t="inlineStr">
        <is>
          <t>E-1037</t>
        </is>
      </c>
      <c r="J83" t="inlineStr">
        <is>
          <t>Team offsite</t>
        </is>
      </c>
    </row>
    <row r="84">
      <c r="A84" t="inlineStr">
        <is>
          <t>TX-30581</t>
        </is>
      </c>
      <c r="B84" s="11" t="n">
        <v>46233</v>
      </c>
      <c r="C84" t="inlineStr">
        <is>
          <t>E-1016</t>
        </is>
      </c>
      <c r="D84" t="inlineStr">
        <is>
          <t>People</t>
        </is>
      </c>
      <c r="E84" t="inlineStr">
        <is>
          <t>V-1185</t>
        </is>
      </c>
      <c r="F84" t="inlineStr">
        <is>
          <t>Facilities</t>
        </is>
      </c>
      <c r="G84" s="12" t="n">
        <v>2196.36</v>
      </c>
      <c r="H84" t="inlineStr">
        <is>
          <t>PO-88342</t>
        </is>
      </c>
      <c r="I84" t="inlineStr">
        <is>
          <t>E-1012</t>
        </is>
      </c>
      <c r="J84" t="inlineStr">
        <is>
          <t>Monthly invoice</t>
        </is>
      </c>
    </row>
    <row r="85">
      <c r="A85" t="inlineStr">
        <is>
          <t>TX-30588</t>
        </is>
      </c>
      <c r="B85" s="11" t="n">
        <v>46233</v>
      </c>
      <c r="C85" t="inlineStr">
        <is>
          <t>E-1037</t>
        </is>
      </c>
      <c r="D85" t="inlineStr">
        <is>
          <t>Marketing</t>
        </is>
      </c>
      <c r="E85" t="inlineStr">
        <is>
          <t>V-1139</t>
        </is>
      </c>
      <c r="F85" t="inlineStr">
        <is>
          <t>Meals &amp; entertainment</t>
        </is>
      </c>
      <c r="G85" s="12" t="n">
        <v>557.3</v>
      </c>
      <c r="H85" t="inlineStr"/>
      <c r="I85" t="inlineStr">
        <is>
          <t>E-1040</t>
        </is>
      </c>
      <c r="J85" t="inlineStr"/>
    </row>
    <row r="86">
      <c r="A86" t="inlineStr">
        <is>
          <t>TX-30595</t>
        </is>
      </c>
      <c r="B86" s="11" t="n">
        <v>46234</v>
      </c>
      <c r="C86" t="inlineStr">
        <is>
          <t>E-1022</t>
        </is>
      </c>
      <c r="D86" t="inlineStr">
        <is>
          <t>Facilities</t>
        </is>
      </c>
      <c r="E86" t="inlineStr">
        <is>
          <t>V-1185</t>
        </is>
      </c>
      <c r="F86" t="inlineStr">
        <is>
          <t>Facilities</t>
        </is>
      </c>
      <c r="G86" s="12" t="n">
        <v>46.19</v>
      </c>
      <c r="H86" t="inlineStr"/>
      <c r="I86" t="inlineStr">
        <is>
          <t>E-1037</t>
        </is>
      </c>
      <c r="J86" t="inlineStr">
        <is>
          <t>Client meeting</t>
        </is>
      </c>
    </row>
    <row r="87">
      <c r="A87" t="inlineStr">
        <is>
          <t>TX-30602</t>
        </is>
      </c>
      <c r="B87" s="11" t="n">
        <v>46234</v>
      </c>
      <c r="C87" t="inlineStr">
        <is>
          <t>E-1025</t>
        </is>
      </c>
      <c r="D87" t="inlineStr">
        <is>
          <t>People</t>
        </is>
      </c>
      <c r="E87" t="inlineStr">
        <is>
          <t>V-1170</t>
        </is>
      </c>
      <c r="F87" t="inlineStr">
        <is>
          <t>Marketing</t>
        </is>
      </c>
      <c r="G87" s="12" t="n">
        <v>1405.99</v>
      </c>
      <c r="H87" t="inlineStr">
        <is>
          <t>PO-88134</t>
        </is>
      </c>
      <c r="I87" t="inlineStr">
        <is>
          <t>E-1033</t>
        </is>
      </c>
      <c r="J87" t="inlineStr">
        <is>
          <t>Ad hoc</t>
        </is>
      </c>
    </row>
    <row r="88">
      <c r="A88" t="inlineStr">
        <is>
          <t>TX-30609</t>
        </is>
      </c>
      <c r="B88" s="11" t="n">
        <v>46234</v>
      </c>
      <c r="C88" t="inlineStr">
        <is>
          <t>E-1027</t>
        </is>
      </c>
      <c r="D88" t="inlineStr">
        <is>
          <t>Finance</t>
        </is>
      </c>
      <c r="E88" t="inlineStr">
        <is>
          <t>V-1109</t>
        </is>
      </c>
      <c r="F88" t="inlineStr">
        <is>
          <t>Shipping</t>
        </is>
      </c>
      <c r="G88" s="12" t="n">
        <v>1952.15</v>
      </c>
      <c r="H88" t="inlineStr">
        <is>
          <t>PO-88290</t>
        </is>
      </c>
      <c r="I88" t="inlineStr">
        <is>
          <t>E-1033</t>
        </is>
      </c>
      <c r="J88" t="inlineStr"/>
    </row>
    <row r="89">
      <c r="A89" t="inlineStr">
        <is>
          <t>TX-30616</t>
        </is>
      </c>
      <c r="B89" s="11" t="n">
        <v>46234</v>
      </c>
      <c r="C89" t="inlineStr">
        <is>
          <t>E-1036</t>
        </is>
      </c>
      <c r="D89" t="inlineStr">
        <is>
          <t>Finance</t>
        </is>
      </c>
      <c r="E89" t="inlineStr">
        <is>
          <t>V-1187</t>
        </is>
      </c>
      <c r="F89" t="inlineStr">
        <is>
          <t>Consulting</t>
        </is>
      </c>
      <c r="G89" s="12" t="n">
        <v>4985</v>
      </c>
      <c r="H89" t="inlineStr"/>
      <c r="I89" t="inlineStr">
        <is>
          <t>E-1037</t>
        </is>
      </c>
      <c r="J89" t="inlineStr">
        <is>
          <t>Strategic advisory</t>
        </is>
      </c>
    </row>
    <row r="90">
      <c r="A90" t="inlineStr">
        <is>
          <t>TX-30623</t>
        </is>
      </c>
      <c r="B90" s="11" t="n">
        <v>46237</v>
      </c>
      <c r="C90" t="inlineStr">
        <is>
          <t>E-1028</t>
        </is>
      </c>
      <c r="D90" t="inlineStr">
        <is>
          <t>Engineering</t>
        </is>
      </c>
      <c r="E90" t="inlineStr">
        <is>
          <t>V-1143</t>
        </is>
      </c>
      <c r="F90" t="inlineStr">
        <is>
          <t>Marketing</t>
        </is>
      </c>
      <c r="G90" s="12" t="n">
        <v>2833.56</v>
      </c>
      <c r="H90" t="inlineStr">
        <is>
          <t>PO-88158</t>
        </is>
      </c>
      <c r="I90" t="inlineStr">
        <is>
          <t>E-1022</t>
        </is>
      </c>
      <c r="J90" t="inlineStr">
        <is>
          <t>Ad hoc</t>
        </is>
      </c>
    </row>
    <row r="91">
      <c r="A91" t="inlineStr">
        <is>
          <t>TX-30630</t>
        </is>
      </c>
      <c r="B91" s="11" t="n">
        <v>46237</v>
      </c>
      <c r="C91" t="inlineStr">
        <is>
          <t>E-1036</t>
        </is>
      </c>
      <c r="D91" t="inlineStr">
        <is>
          <t>Finance</t>
        </is>
      </c>
      <c r="E91" t="inlineStr">
        <is>
          <t>V-1187</t>
        </is>
      </c>
      <c r="F91" t="inlineStr">
        <is>
          <t>Consulting</t>
        </is>
      </c>
      <c r="G91" s="12" t="n">
        <v>4650.75</v>
      </c>
      <c r="H91" t="inlineStr"/>
      <c r="I91" t="inlineStr">
        <is>
          <t>E-1022</t>
        </is>
      </c>
      <c r="J91" t="inlineStr">
        <is>
          <t>Advisory retainer</t>
        </is>
      </c>
    </row>
    <row r="92">
      <c r="A92" t="inlineStr">
        <is>
          <t>TX-30637</t>
        </is>
      </c>
      <c r="B92" s="11" t="n">
        <v>46239</v>
      </c>
      <c r="C92" t="inlineStr">
        <is>
          <t>E-1033</t>
        </is>
      </c>
      <c r="D92" t="inlineStr">
        <is>
          <t>Facilities</t>
        </is>
      </c>
      <c r="E92" t="inlineStr">
        <is>
          <t>V-1178</t>
        </is>
      </c>
      <c r="F92" t="inlineStr">
        <is>
          <t>Utilities</t>
        </is>
      </c>
      <c r="G92" s="12" t="n">
        <v>396.29</v>
      </c>
      <c r="H92" t="inlineStr"/>
      <c r="I92" t="inlineStr">
        <is>
          <t>E-1019</t>
        </is>
      </c>
      <c r="J92" t="inlineStr">
        <is>
          <t>Annual licence</t>
        </is>
      </c>
    </row>
    <row r="93">
      <c r="A93" t="inlineStr">
        <is>
          <t>TX-30644</t>
        </is>
      </c>
      <c r="B93" s="11" t="n">
        <v>46239</v>
      </c>
      <c r="C93" t="inlineStr">
        <is>
          <t>E-1028</t>
        </is>
      </c>
      <c r="D93" t="inlineStr">
        <is>
          <t>Engineering</t>
        </is>
      </c>
      <c r="E93" t="inlineStr">
        <is>
          <t>V-1144</t>
        </is>
      </c>
      <c r="F93" t="inlineStr">
        <is>
          <t>Travel</t>
        </is>
      </c>
      <c r="G93" s="12" t="n">
        <v>347.28</v>
      </c>
      <c r="H93" t="inlineStr"/>
      <c r="I93" t="inlineStr">
        <is>
          <t>E-1009</t>
        </is>
      </c>
      <c r="J93" t="inlineStr">
        <is>
          <t>Annual licence</t>
        </is>
      </c>
    </row>
    <row r="94">
      <c r="A94" t="inlineStr">
        <is>
          <t>TX-30651</t>
        </is>
      </c>
      <c r="B94" s="11" t="n">
        <v>46239</v>
      </c>
      <c r="C94" t="inlineStr">
        <is>
          <t>E-1010</t>
        </is>
      </c>
      <c r="D94" t="inlineStr">
        <is>
          <t>Operations</t>
        </is>
      </c>
      <c r="E94" t="inlineStr">
        <is>
          <t>V-1187</t>
        </is>
      </c>
      <c r="F94" t="inlineStr">
        <is>
          <t>Consulting</t>
        </is>
      </c>
      <c r="G94" s="12" t="n">
        <v>4899.99</v>
      </c>
      <c r="H94" t="inlineStr"/>
      <c r="I94" t="inlineStr">
        <is>
          <t>E-1012</t>
        </is>
      </c>
      <c r="J94" t="inlineStr">
        <is>
          <t>Workshop facilitation</t>
        </is>
      </c>
    </row>
    <row r="95">
      <c r="A95" t="inlineStr">
        <is>
          <t>TX-30658</t>
        </is>
      </c>
      <c r="B95" s="11" t="n">
        <v>46240</v>
      </c>
      <c r="C95" t="inlineStr">
        <is>
          <t>E-1032</t>
        </is>
      </c>
      <c r="D95" t="inlineStr">
        <is>
          <t>Sales</t>
        </is>
      </c>
      <c r="E95" t="inlineStr">
        <is>
          <t>V-1185</t>
        </is>
      </c>
      <c r="F95" t="inlineStr">
        <is>
          <t>Facilities</t>
        </is>
      </c>
      <c r="G95" s="12" t="n">
        <v>16046.16</v>
      </c>
      <c r="H95" t="inlineStr">
        <is>
          <t>PO-88009</t>
        </is>
      </c>
      <c r="I95" t="inlineStr">
        <is>
          <t>E-1000</t>
        </is>
      </c>
      <c r="J95" t="inlineStr">
        <is>
          <t>Replacement</t>
        </is>
      </c>
    </row>
    <row r="96">
      <c r="A96" t="inlineStr">
        <is>
          <t>TX-30665</t>
        </is>
      </c>
      <c r="B96" s="11" t="n">
        <v>46241</v>
      </c>
      <c r="C96" t="inlineStr">
        <is>
          <t>E-1011</t>
        </is>
      </c>
      <c r="D96" t="inlineStr">
        <is>
          <t>Engineering</t>
        </is>
      </c>
      <c r="E96" t="inlineStr">
        <is>
          <t>V-1124</t>
        </is>
      </c>
      <c r="F96" t="inlineStr">
        <is>
          <t>Facilities</t>
        </is>
      </c>
      <c r="G96" s="12" t="n">
        <v>301.79</v>
      </c>
      <c r="H96" t="inlineStr"/>
      <c r="I96" t="inlineStr">
        <is>
          <t>E-1033</t>
        </is>
      </c>
      <c r="J96" t="inlineStr">
        <is>
          <t>Monthly invoice</t>
        </is>
      </c>
    </row>
    <row r="97">
      <c r="A97" t="inlineStr">
        <is>
          <t>TX-30672</t>
        </is>
      </c>
      <c r="B97" s="11" t="n">
        <v>46241</v>
      </c>
      <c r="C97" t="inlineStr">
        <is>
          <t>E-1011</t>
        </is>
      </c>
      <c r="D97" t="inlineStr">
        <is>
          <t>Engineering</t>
        </is>
      </c>
      <c r="E97" t="inlineStr">
        <is>
          <t>V-1143</t>
        </is>
      </c>
      <c r="F97" t="inlineStr">
        <is>
          <t>Marketing</t>
        </is>
      </c>
      <c r="G97" s="12" t="n">
        <v>251.99</v>
      </c>
      <c r="H97" t="inlineStr"/>
      <c r="I97" t="inlineStr">
        <is>
          <t>E-1019</t>
        </is>
      </c>
      <c r="J97" t="inlineStr">
        <is>
          <t>Client meeting</t>
        </is>
      </c>
    </row>
    <row r="98">
      <c r="A98" t="inlineStr">
        <is>
          <t>TX-30679</t>
        </is>
      </c>
      <c r="B98" s="11" t="n">
        <v>46241</v>
      </c>
      <c r="C98" t="inlineStr">
        <is>
          <t>E-1028</t>
        </is>
      </c>
      <c r="D98" t="inlineStr">
        <is>
          <t>Engineering</t>
        </is>
      </c>
      <c r="E98" t="inlineStr">
        <is>
          <t>V-1170</t>
        </is>
      </c>
      <c r="F98" t="inlineStr">
        <is>
          <t>Marketing</t>
        </is>
      </c>
      <c r="G98" s="12" t="n">
        <v>185.69</v>
      </c>
      <c r="H98" t="inlineStr"/>
      <c r="I98" t="inlineStr">
        <is>
          <t>E-1026</t>
        </is>
      </c>
      <c r="J98" t="inlineStr">
        <is>
          <t>Ad hoc</t>
        </is>
      </c>
    </row>
    <row r="99">
      <c r="A99" t="inlineStr">
        <is>
          <t>TX-30686</t>
        </is>
      </c>
      <c r="B99" s="11" t="n">
        <v>46241</v>
      </c>
      <c r="C99" t="inlineStr">
        <is>
          <t>E-1020</t>
        </is>
      </c>
      <c r="D99" t="inlineStr">
        <is>
          <t>Facilities</t>
        </is>
      </c>
      <c r="E99" t="inlineStr">
        <is>
          <t>V-1109</t>
        </is>
      </c>
      <c r="F99" t="inlineStr">
        <is>
          <t>Shipping</t>
        </is>
      </c>
      <c r="G99" s="12" t="n">
        <v>224.72</v>
      </c>
      <c r="H99" t="inlineStr"/>
      <c r="I99" t="inlineStr">
        <is>
          <t>E-1019</t>
        </is>
      </c>
      <c r="J99" t="inlineStr">
        <is>
          <t>Replacement</t>
        </is>
      </c>
    </row>
    <row r="100">
      <c r="A100" t="inlineStr">
        <is>
          <t>TX-30693</t>
        </is>
      </c>
      <c r="B100" s="11" t="n">
        <v>46241</v>
      </c>
      <c r="C100" t="inlineStr">
        <is>
          <t>E-1034</t>
        </is>
      </c>
      <c r="D100" t="inlineStr">
        <is>
          <t>Marketing</t>
        </is>
      </c>
      <c r="E100" t="inlineStr">
        <is>
          <t>V-1187</t>
        </is>
      </c>
      <c r="F100" t="inlineStr">
        <is>
          <t>Consulting</t>
        </is>
      </c>
      <c r="G100" s="12" t="n">
        <v>4712.4</v>
      </c>
      <c r="H100" t="inlineStr"/>
      <c r="I100" t="inlineStr">
        <is>
          <t>E-1012</t>
        </is>
      </c>
      <c r="J100" t="inlineStr">
        <is>
          <t>Phase 2 advisory</t>
        </is>
      </c>
    </row>
    <row r="101">
      <c r="A101" t="inlineStr">
        <is>
          <t>TX-30700</t>
        </is>
      </c>
      <c r="B101" s="11" t="n">
        <v>46244</v>
      </c>
      <c r="C101" t="inlineStr">
        <is>
          <t>E-1024</t>
        </is>
      </c>
      <c r="D101" t="inlineStr">
        <is>
          <t>Operations</t>
        </is>
      </c>
      <c r="E101" t="inlineStr">
        <is>
          <t>V-1102</t>
        </is>
      </c>
      <c r="F101" t="inlineStr">
        <is>
          <t>Office supplies</t>
        </is>
      </c>
      <c r="G101" s="12" t="n">
        <v>704.96</v>
      </c>
      <c r="H101" t="inlineStr"/>
      <c r="I101" t="inlineStr">
        <is>
          <t>E-1035</t>
        </is>
      </c>
      <c r="J101" t="inlineStr">
        <is>
          <t>Team offsite</t>
        </is>
      </c>
    </row>
    <row r="102">
      <c r="A102" t="inlineStr">
        <is>
          <t>TX-30707</t>
        </is>
      </c>
      <c r="B102" s="11" t="n">
        <v>46244</v>
      </c>
      <c r="C102" t="inlineStr">
        <is>
          <t>E-1008</t>
        </is>
      </c>
      <c r="D102" t="inlineStr">
        <is>
          <t>People</t>
        </is>
      </c>
      <c r="E102" t="inlineStr">
        <is>
          <t>V-1109</t>
        </is>
      </c>
      <c r="F102" t="inlineStr">
        <is>
          <t>Shipping</t>
        </is>
      </c>
      <c r="G102" s="12" t="n">
        <v>409.44</v>
      </c>
      <c r="H102" t="inlineStr"/>
      <c r="I102" t="inlineStr">
        <is>
          <t>E-1022</t>
        </is>
      </c>
      <c r="J102" t="inlineStr">
        <is>
          <t>Team offsite</t>
        </is>
      </c>
    </row>
    <row r="103">
      <c r="A103" t="inlineStr">
        <is>
          <t>TX-30714</t>
        </is>
      </c>
      <c r="B103" s="11" t="n">
        <v>46245</v>
      </c>
      <c r="C103" t="inlineStr">
        <is>
          <t>E-1027</t>
        </is>
      </c>
      <c r="D103" t="inlineStr">
        <is>
          <t>Finance</t>
        </is>
      </c>
      <c r="E103" t="inlineStr">
        <is>
          <t>V-1134</t>
        </is>
      </c>
      <c r="F103" t="inlineStr">
        <is>
          <t>Shipping</t>
        </is>
      </c>
      <c r="G103" s="12" t="n">
        <v>253</v>
      </c>
      <c r="H103" t="inlineStr"/>
      <c r="I103" t="inlineStr">
        <is>
          <t>E-1035</t>
        </is>
      </c>
      <c r="J103" t="inlineStr">
        <is>
          <t>Annual licence</t>
        </is>
      </c>
    </row>
    <row r="104">
      <c r="A104" t="inlineStr">
        <is>
          <t>TX-30721</t>
        </is>
      </c>
      <c r="B104" s="11" t="n">
        <v>46245</v>
      </c>
      <c r="C104" t="inlineStr">
        <is>
          <t>E-1015</t>
        </is>
      </c>
      <c r="D104" t="inlineStr">
        <is>
          <t>People</t>
        </is>
      </c>
      <c r="E104" t="inlineStr">
        <is>
          <t>V-1148</t>
        </is>
      </c>
      <c r="F104" t="inlineStr">
        <is>
          <t>Events</t>
        </is>
      </c>
      <c r="G104" s="12" t="n">
        <v>2277.9</v>
      </c>
      <c r="H104" t="inlineStr">
        <is>
          <t>PO-88130</t>
        </is>
      </c>
      <c r="I104" t="inlineStr">
        <is>
          <t>E-1017</t>
        </is>
      </c>
      <c r="J104" t="inlineStr">
        <is>
          <t>Replacement</t>
        </is>
      </c>
    </row>
    <row r="105">
      <c r="A105" t="inlineStr">
        <is>
          <t>TX-30728</t>
        </is>
      </c>
      <c r="B105" s="11" t="n">
        <v>46246</v>
      </c>
      <c r="C105" t="inlineStr">
        <is>
          <t>E-1006</t>
        </is>
      </c>
      <c r="D105" t="inlineStr">
        <is>
          <t>People</t>
        </is>
      </c>
      <c r="E105" t="inlineStr">
        <is>
          <t>V-1170</t>
        </is>
      </c>
      <c r="F105" t="inlineStr">
        <is>
          <t>Marketing</t>
        </is>
      </c>
      <c r="G105" s="12" t="n">
        <v>284.67</v>
      </c>
      <c r="H105" t="inlineStr"/>
      <c r="I105" t="inlineStr">
        <is>
          <t>E-1017</t>
        </is>
      </c>
      <c r="J105" t="inlineStr">
        <is>
          <t>Q3 renewal</t>
        </is>
      </c>
    </row>
    <row r="106">
      <c r="A106" t="inlineStr">
        <is>
          <t>TX-30735</t>
        </is>
      </c>
      <c r="B106" s="11" t="n">
        <v>46246</v>
      </c>
      <c r="C106" t="inlineStr">
        <is>
          <t>E-1037</t>
        </is>
      </c>
      <c r="D106" t="inlineStr">
        <is>
          <t>Marketing</t>
        </is>
      </c>
      <c r="E106" t="inlineStr">
        <is>
          <t>V-1178</t>
        </is>
      </c>
      <c r="F106" t="inlineStr">
        <is>
          <t>Utilities</t>
        </is>
      </c>
      <c r="G106" s="12" t="n">
        <v>3083.29</v>
      </c>
      <c r="H106" t="inlineStr">
        <is>
          <t>PO-88206</t>
        </is>
      </c>
      <c r="I106" t="inlineStr">
        <is>
          <t>E-1022</t>
        </is>
      </c>
      <c r="J106" t="inlineStr">
        <is>
          <t>Monthly invoice</t>
        </is>
      </c>
    </row>
    <row r="107">
      <c r="A107" t="inlineStr">
        <is>
          <t>TX-30742</t>
        </is>
      </c>
      <c r="B107" s="11" t="n">
        <v>46246</v>
      </c>
      <c r="C107" t="inlineStr">
        <is>
          <t>E-1035</t>
        </is>
      </c>
      <c r="D107" t="inlineStr">
        <is>
          <t>Facilities</t>
        </is>
      </c>
      <c r="E107" t="inlineStr">
        <is>
          <t>V-1139</t>
        </is>
      </c>
      <c r="F107" t="inlineStr">
        <is>
          <t>Meals &amp; entertainment</t>
        </is>
      </c>
      <c r="G107" s="12" t="n">
        <v>12.33</v>
      </c>
      <c r="H107" t="inlineStr"/>
      <c r="I107" t="inlineStr">
        <is>
          <t>E-1019</t>
        </is>
      </c>
      <c r="J107" t="inlineStr"/>
    </row>
    <row r="108">
      <c r="A108" t="inlineStr">
        <is>
          <t>TX-30749</t>
        </is>
      </c>
      <c r="B108" s="11" t="n">
        <v>46247</v>
      </c>
      <c r="C108" t="inlineStr">
        <is>
          <t>E-1016</t>
        </is>
      </c>
      <c r="D108" t="inlineStr">
        <is>
          <t>People</t>
        </is>
      </c>
      <c r="E108" t="inlineStr">
        <is>
          <t>V-1161</t>
        </is>
      </c>
      <c r="F108" t="inlineStr">
        <is>
          <t>Marketing</t>
        </is>
      </c>
      <c r="G108" s="12" t="n">
        <v>404.73</v>
      </c>
      <c r="H108" t="inlineStr"/>
      <c r="I108" t="inlineStr">
        <is>
          <t>E-1040</t>
        </is>
      </c>
      <c r="J108" t="inlineStr">
        <is>
          <t>Replacement</t>
        </is>
      </c>
    </row>
    <row r="109">
      <c r="A109" t="inlineStr">
        <is>
          <t>TX-30756</t>
        </is>
      </c>
      <c r="B109" s="11" t="n">
        <v>46247</v>
      </c>
      <c r="C109" t="inlineStr">
        <is>
          <t>E-1033</t>
        </is>
      </c>
      <c r="D109" t="inlineStr">
        <is>
          <t>Facilities</t>
        </is>
      </c>
      <c r="E109" t="inlineStr">
        <is>
          <t>V-1128</t>
        </is>
      </c>
      <c r="F109" t="inlineStr">
        <is>
          <t>Training</t>
        </is>
      </c>
      <c r="G109" s="12" t="n">
        <v>1309.7</v>
      </c>
      <c r="H109" t="inlineStr">
        <is>
          <t>PO-88086</t>
        </is>
      </c>
      <c r="I109" t="inlineStr">
        <is>
          <t>E-1009</t>
        </is>
      </c>
      <c r="J109" t="inlineStr">
        <is>
          <t>Q3 renewal</t>
        </is>
      </c>
    </row>
    <row r="110">
      <c r="A110" t="inlineStr">
        <is>
          <t>TX-30763</t>
        </is>
      </c>
      <c r="B110" s="11" t="n">
        <v>46247</v>
      </c>
      <c r="C110" t="inlineStr">
        <is>
          <t>E-1002</t>
        </is>
      </c>
      <c r="D110" t="inlineStr">
        <is>
          <t>Operations</t>
        </is>
      </c>
      <c r="E110" t="inlineStr">
        <is>
          <t>V-1109</t>
        </is>
      </c>
      <c r="F110" t="inlineStr">
        <is>
          <t>Shipping</t>
        </is>
      </c>
      <c r="G110" s="12" t="n">
        <v>339.55</v>
      </c>
      <c r="H110" t="inlineStr"/>
      <c r="I110" t="inlineStr">
        <is>
          <t>E-1017</t>
        </is>
      </c>
      <c r="J110" t="inlineStr">
        <is>
          <t>Annual licence</t>
        </is>
      </c>
    </row>
    <row r="111">
      <c r="A111" t="inlineStr">
        <is>
          <t>TX-30770</t>
        </is>
      </c>
      <c r="B111" s="11" t="n">
        <v>46247</v>
      </c>
      <c r="C111" t="inlineStr">
        <is>
          <t>E-1027</t>
        </is>
      </c>
      <c r="D111" t="inlineStr">
        <is>
          <t>Finance</t>
        </is>
      </c>
      <c r="E111" t="inlineStr">
        <is>
          <t>V-1106</t>
        </is>
      </c>
      <c r="F111" t="inlineStr">
        <is>
          <t>Software &amp; hosting</t>
        </is>
      </c>
      <c r="G111" s="12" t="n">
        <v>292.45</v>
      </c>
      <c r="H111" t="inlineStr"/>
      <c r="I111" t="inlineStr">
        <is>
          <t>E-1022</t>
        </is>
      </c>
      <c r="J111" t="inlineStr">
        <is>
          <t>Replacement</t>
        </is>
      </c>
    </row>
    <row r="112">
      <c r="A112" t="inlineStr">
        <is>
          <t>TX-30777</t>
        </is>
      </c>
      <c r="B112" s="11" t="n">
        <v>46247</v>
      </c>
      <c r="C112" t="inlineStr">
        <is>
          <t>E-1034</t>
        </is>
      </c>
      <c r="D112" t="inlineStr">
        <is>
          <t>Marketing</t>
        </is>
      </c>
      <c r="E112" t="inlineStr">
        <is>
          <t>V-1144</t>
        </is>
      </c>
      <c r="F112" t="inlineStr">
        <is>
          <t>Travel</t>
        </is>
      </c>
      <c r="G112" s="12" t="n">
        <v>128.28</v>
      </c>
      <c r="H112" t="inlineStr"/>
      <c r="I112" t="inlineStr">
        <is>
          <t>E-1012</t>
        </is>
      </c>
      <c r="J112" t="inlineStr"/>
    </row>
    <row r="113">
      <c r="A113" t="inlineStr">
        <is>
          <t>TX-30784</t>
        </is>
      </c>
      <c r="B113" s="11" t="n">
        <v>46247</v>
      </c>
      <c r="C113" t="inlineStr">
        <is>
          <t>E-1018</t>
        </is>
      </c>
      <c r="D113" t="inlineStr">
        <is>
          <t>Operations</t>
        </is>
      </c>
      <c r="E113" t="inlineStr">
        <is>
          <t>V-1185</t>
        </is>
      </c>
      <c r="F113" t="inlineStr">
        <is>
          <t>Facilities</t>
        </is>
      </c>
      <c r="G113" s="12" t="n">
        <v>36.16</v>
      </c>
      <c r="H113" t="inlineStr"/>
      <c r="I113" t="inlineStr">
        <is>
          <t>E-1017</t>
        </is>
      </c>
      <c r="J113" t="inlineStr">
        <is>
          <t>Monthly invoice</t>
        </is>
      </c>
    </row>
    <row r="114">
      <c r="A114" t="inlineStr">
        <is>
          <t>TX-30791</t>
        </is>
      </c>
      <c r="B114" s="11" t="n">
        <v>46247</v>
      </c>
      <c r="C114" t="inlineStr">
        <is>
          <t>E-1007</t>
        </is>
      </c>
      <c r="D114" t="inlineStr">
        <is>
          <t>Marketing</t>
        </is>
      </c>
      <c r="E114" t="inlineStr">
        <is>
          <t>V-1161</t>
        </is>
      </c>
      <c r="F114" t="inlineStr">
        <is>
          <t>Marketing</t>
        </is>
      </c>
      <c r="G114" s="12" t="n">
        <v>165.95</v>
      </c>
      <c r="H114" t="inlineStr"/>
      <c r="I114" t="inlineStr">
        <is>
          <t>E-1037</t>
        </is>
      </c>
      <c r="J114" t="inlineStr"/>
    </row>
    <row r="115">
      <c r="A115" t="inlineStr">
        <is>
          <t>TX-30798</t>
        </is>
      </c>
      <c r="B115" s="11" t="n">
        <v>46248</v>
      </c>
      <c r="C115" t="inlineStr">
        <is>
          <t>E-1022</t>
        </is>
      </c>
      <c r="D115" t="inlineStr">
        <is>
          <t>Facilities</t>
        </is>
      </c>
      <c r="E115" t="inlineStr">
        <is>
          <t>V-1185</t>
        </is>
      </c>
      <c r="F115" t="inlineStr">
        <is>
          <t>Facilities</t>
        </is>
      </c>
      <c r="G115" s="12" t="n">
        <v>151.2</v>
      </c>
      <c r="H115" t="inlineStr"/>
      <c r="I115" t="inlineStr">
        <is>
          <t>E-1035</t>
        </is>
      </c>
      <c r="J115" t="inlineStr">
        <is>
          <t>Annual licence</t>
        </is>
      </c>
    </row>
    <row r="116">
      <c r="A116" t="inlineStr">
        <is>
          <t>TX-30805</t>
        </is>
      </c>
      <c r="B116" s="11" t="n">
        <v>46248</v>
      </c>
      <c r="C116" t="inlineStr">
        <is>
          <t>E-1001</t>
        </is>
      </c>
      <c r="D116" t="inlineStr">
        <is>
          <t>Operations</t>
        </is>
      </c>
      <c r="E116" t="inlineStr">
        <is>
          <t>V-1161</t>
        </is>
      </c>
      <c r="F116" t="inlineStr">
        <is>
          <t>Marketing</t>
        </is>
      </c>
      <c r="G116" s="12" t="n">
        <v>166.63</v>
      </c>
      <c r="H116" t="inlineStr"/>
      <c r="I116" t="inlineStr">
        <is>
          <t>E-1040</t>
        </is>
      </c>
      <c r="J116" t="inlineStr">
        <is>
          <t>Monthly invoice</t>
        </is>
      </c>
    </row>
    <row r="117">
      <c r="A117" t="inlineStr">
        <is>
          <t>TX-30812</t>
        </is>
      </c>
      <c r="B117" s="11" t="n">
        <v>46248</v>
      </c>
      <c r="C117" t="inlineStr">
        <is>
          <t>E-1009</t>
        </is>
      </c>
      <c r="D117" t="inlineStr">
        <is>
          <t>Facilities</t>
        </is>
      </c>
      <c r="E117" t="inlineStr">
        <is>
          <t>V-1143</t>
        </is>
      </c>
      <c r="F117" t="inlineStr">
        <is>
          <t>Marketing</t>
        </is>
      </c>
      <c r="G117" s="12" t="n">
        <v>183.62</v>
      </c>
      <c r="H117" t="inlineStr"/>
      <c r="I117" t="inlineStr">
        <is>
          <t>E-1019</t>
        </is>
      </c>
      <c r="J117" t="inlineStr"/>
    </row>
    <row r="118">
      <c r="A118" t="inlineStr">
        <is>
          <t>TX-30819</t>
        </is>
      </c>
      <c r="B118" s="11" t="n">
        <v>46248</v>
      </c>
      <c r="C118" t="inlineStr">
        <is>
          <t>E-1004</t>
        </is>
      </c>
      <c r="D118" t="inlineStr">
        <is>
          <t>Engineering</t>
        </is>
      </c>
      <c r="E118" t="inlineStr">
        <is>
          <t>V-1154</t>
        </is>
      </c>
      <c r="F118" t="inlineStr">
        <is>
          <t>Travel</t>
        </is>
      </c>
      <c r="G118" s="12" t="n">
        <v>1391.2</v>
      </c>
      <c r="H118" t="inlineStr">
        <is>
          <t>PO-88196</t>
        </is>
      </c>
      <c r="I118" t="inlineStr">
        <is>
          <t>E-1026</t>
        </is>
      </c>
      <c r="J118" t="inlineStr">
        <is>
          <t>Ad hoc</t>
        </is>
      </c>
    </row>
    <row r="119">
      <c r="A119" t="inlineStr">
        <is>
          <t>TX-30826</t>
        </is>
      </c>
      <c r="B119" s="11" t="n">
        <v>46248</v>
      </c>
      <c r="C119" t="inlineStr">
        <is>
          <t>E-1006</t>
        </is>
      </c>
      <c r="D119" t="inlineStr">
        <is>
          <t>People</t>
        </is>
      </c>
      <c r="E119" t="inlineStr">
        <is>
          <t>V-1114</t>
        </is>
      </c>
      <c r="F119" t="inlineStr">
        <is>
          <t>Travel</t>
        </is>
      </c>
      <c r="G119" s="12" t="n">
        <v>404.78</v>
      </c>
      <c r="H119" t="inlineStr"/>
      <c r="I119" t="inlineStr">
        <is>
          <t>E-1037</t>
        </is>
      </c>
      <c r="J119" t="inlineStr"/>
    </row>
    <row r="120">
      <c r="A120" t="inlineStr">
        <is>
          <t>TX-30833</t>
        </is>
      </c>
      <c r="B120" s="11" t="n">
        <v>46251</v>
      </c>
      <c r="C120" t="inlineStr">
        <is>
          <t>E-1002</t>
        </is>
      </c>
      <c r="D120" t="inlineStr">
        <is>
          <t>Operations</t>
        </is>
      </c>
      <c r="E120" t="inlineStr">
        <is>
          <t>V-1161</t>
        </is>
      </c>
      <c r="F120" t="inlineStr">
        <is>
          <t>Marketing</t>
        </is>
      </c>
      <c r="G120" s="12" t="n">
        <v>1744.71</v>
      </c>
      <c r="H120" t="inlineStr">
        <is>
          <t>PO-88259</t>
        </is>
      </c>
      <c r="I120" t="inlineStr">
        <is>
          <t>E-1026</t>
        </is>
      </c>
      <c r="J120" t="inlineStr">
        <is>
          <t>Ad hoc</t>
        </is>
      </c>
    </row>
    <row r="121">
      <c r="A121" t="inlineStr">
        <is>
          <t>TX-30840</t>
        </is>
      </c>
      <c r="B121" s="11" t="n">
        <v>46251</v>
      </c>
      <c r="C121" t="inlineStr">
        <is>
          <t>E-1028</t>
        </is>
      </c>
      <c r="D121" t="inlineStr">
        <is>
          <t>Engineering</t>
        </is>
      </c>
      <c r="E121" t="inlineStr">
        <is>
          <t>V-1109</t>
        </is>
      </c>
      <c r="F121" t="inlineStr">
        <is>
          <t>Shipping</t>
        </is>
      </c>
      <c r="G121" s="12" t="n">
        <v>7053.19</v>
      </c>
      <c r="H121" t="inlineStr">
        <is>
          <t>PO-88314</t>
        </is>
      </c>
      <c r="I121" t="inlineStr">
        <is>
          <t>E-1000</t>
        </is>
      </c>
      <c r="J121" t="inlineStr">
        <is>
          <t>Client meeting</t>
        </is>
      </c>
    </row>
    <row r="122">
      <c r="A122" t="inlineStr">
        <is>
          <t>TX-30847</t>
        </is>
      </c>
      <c r="B122" s="11" t="n">
        <v>46251</v>
      </c>
      <c r="C122" t="inlineStr">
        <is>
          <t>E-1028</t>
        </is>
      </c>
      <c r="D122" t="inlineStr">
        <is>
          <t>Engineering</t>
        </is>
      </c>
      <c r="E122" t="inlineStr">
        <is>
          <t>V-1117</t>
        </is>
      </c>
      <c r="F122" t="inlineStr">
        <is>
          <t>Meals &amp; entertainment</t>
        </is>
      </c>
      <c r="G122" s="12" t="n">
        <v>545.0700000000001</v>
      </c>
      <c r="H122" t="inlineStr"/>
      <c r="I122" t="inlineStr">
        <is>
          <t>E-1032</t>
        </is>
      </c>
      <c r="J122" t="inlineStr">
        <is>
          <t>Monthly invoice</t>
        </is>
      </c>
    </row>
    <row r="123">
      <c r="A123" t="inlineStr">
        <is>
          <t>TX-30854</t>
        </is>
      </c>
      <c r="B123" s="11" t="n">
        <v>46251</v>
      </c>
      <c r="C123" t="inlineStr">
        <is>
          <t>E-1010</t>
        </is>
      </c>
      <c r="D123" t="inlineStr">
        <is>
          <t>Operations</t>
        </is>
      </c>
      <c r="E123" t="inlineStr">
        <is>
          <t>V-1187</t>
        </is>
      </c>
      <c r="F123" t="inlineStr">
        <is>
          <t>Consulting</t>
        </is>
      </c>
      <c r="G123" s="12" t="n">
        <v>4960</v>
      </c>
      <c r="H123" t="inlineStr"/>
      <c r="I123" t="inlineStr">
        <is>
          <t>E-1040</t>
        </is>
      </c>
      <c r="J123" t="inlineStr">
        <is>
          <t>Strategic advisory</t>
        </is>
      </c>
    </row>
    <row r="124">
      <c r="A124" t="inlineStr">
        <is>
          <t>TX-30861</t>
        </is>
      </c>
      <c r="B124" s="11" t="n">
        <v>46252</v>
      </c>
      <c r="C124" t="inlineStr">
        <is>
          <t>E-1016</t>
        </is>
      </c>
      <c r="D124" t="inlineStr">
        <is>
          <t>People</t>
        </is>
      </c>
      <c r="E124" t="inlineStr">
        <is>
          <t>V-1102</t>
        </is>
      </c>
      <c r="F124" t="inlineStr">
        <is>
          <t>Office supplies</t>
        </is>
      </c>
      <c r="G124" s="12" t="n">
        <v>127.05</v>
      </c>
      <c r="H124" t="inlineStr"/>
      <c r="I124" t="inlineStr">
        <is>
          <t>E-1017</t>
        </is>
      </c>
      <c r="J124" t="inlineStr">
        <is>
          <t>Monthly invoice</t>
        </is>
      </c>
    </row>
    <row r="125">
      <c r="A125" t="inlineStr">
        <is>
          <t>TX-30868</t>
        </is>
      </c>
      <c r="B125" s="11" t="n">
        <v>46252</v>
      </c>
      <c r="C125" t="inlineStr">
        <is>
          <t>E-1010</t>
        </is>
      </c>
      <c r="D125" t="inlineStr">
        <is>
          <t>Operations</t>
        </is>
      </c>
      <c r="E125" t="inlineStr">
        <is>
          <t>V-1185</t>
        </is>
      </c>
      <c r="F125" t="inlineStr">
        <is>
          <t>Facilities</t>
        </is>
      </c>
      <c r="G125" s="12" t="n">
        <v>343.27</v>
      </c>
      <c r="H125" t="inlineStr"/>
      <c r="I125" t="inlineStr">
        <is>
          <t>E-1032</t>
        </is>
      </c>
      <c r="J125" t="inlineStr"/>
    </row>
    <row r="126">
      <c r="A126" t="inlineStr">
        <is>
          <t>TX-30875</t>
        </is>
      </c>
      <c r="B126" s="11" t="n">
        <v>46252</v>
      </c>
      <c r="C126" t="inlineStr">
        <is>
          <t>E-1014</t>
        </is>
      </c>
      <c r="D126" t="inlineStr">
        <is>
          <t>Marketing</t>
        </is>
      </c>
      <c r="E126" t="inlineStr">
        <is>
          <t>V-1134</t>
        </is>
      </c>
      <c r="F126" t="inlineStr">
        <is>
          <t>Shipping</t>
        </is>
      </c>
      <c r="G126" s="12" t="n">
        <v>216.55</v>
      </c>
      <c r="H126" t="inlineStr"/>
      <c r="I126" t="inlineStr">
        <is>
          <t>E-1033</t>
        </is>
      </c>
      <c r="J126" t="inlineStr">
        <is>
          <t>Replacement</t>
        </is>
      </c>
    </row>
    <row r="127">
      <c r="A127" t="inlineStr">
        <is>
          <t>TX-30882</t>
        </is>
      </c>
      <c r="B127" s="11" t="n">
        <v>46252</v>
      </c>
      <c r="C127" t="inlineStr">
        <is>
          <t>E-1035</t>
        </is>
      </c>
      <c r="D127" t="inlineStr">
        <is>
          <t>Facilities</t>
        </is>
      </c>
      <c r="E127" t="inlineStr">
        <is>
          <t>V-1102</t>
        </is>
      </c>
      <c r="F127" t="inlineStr">
        <is>
          <t>Office supplies</t>
        </is>
      </c>
      <c r="G127" s="12" t="n">
        <v>4950</v>
      </c>
      <c r="H127" t="inlineStr">
        <is>
          <t>PO-88360</t>
        </is>
      </c>
      <c r="I127" t="inlineStr">
        <is>
          <t>E-1026</t>
        </is>
      </c>
      <c r="J127" t="inlineStr">
        <is>
          <t>Bulk furniture order</t>
        </is>
      </c>
    </row>
    <row r="128">
      <c r="A128" t="inlineStr">
        <is>
          <t>TX-30889</t>
        </is>
      </c>
      <c r="B128" s="11" t="n">
        <v>46253</v>
      </c>
      <c r="C128" t="inlineStr">
        <is>
          <t>E-1037</t>
        </is>
      </c>
      <c r="D128" t="inlineStr">
        <is>
          <t>Marketing</t>
        </is>
      </c>
      <c r="E128" t="inlineStr">
        <is>
          <t>V-1117</t>
        </is>
      </c>
      <c r="F128" t="inlineStr">
        <is>
          <t>Meals &amp; entertainment</t>
        </is>
      </c>
      <c r="G128" s="12" t="n">
        <v>303.99</v>
      </c>
      <c r="H128" t="inlineStr"/>
      <c r="I128" t="inlineStr">
        <is>
          <t>E-1009</t>
        </is>
      </c>
      <c r="J128" t="inlineStr">
        <is>
          <t>Client meeting</t>
        </is>
      </c>
    </row>
    <row r="129">
      <c r="A129" t="inlineStr">
        <is>
          <t>TX-30896</t>
        </is>
      </c>
      <c r="B129" s="11" t="n">
        <v>46253</v>
      </c>
      <c r="C129" t="inlineStr">
        <is>
          <t>E-1015</t>
        </is>
      </c>
      <c r="D129" t="inlineStr">
        <is>
          <t>People</t>
        </is>
      </c>
      <c r="E129" t="inlineStr">
        <is>
          <t>V-1114</t>
        </is>
      </c>
      <c r="F129" t="inlineStr">
        <is>
          <t>Travel</t>
        </is>
      </c>
      <c r="G129" s="12" t="n">
        <v>1670.56</v>
      </c>
      <c r="H129" t="inlineStr">
        <is>
          <t>PO-88128</t>
        </is>
      </c>
      <c r="I129" t="inlineStr">
        <is>
          <t>E-1012</t>
        </is>
      </c>
      <c r="J129" t="inlineStr">
        <is>
          <t>Annual licence</t>
        </is>
      </c>
    </row>
    <row r="130">
      <c r="A130" t="inlineStr">
        <is>
          <t>TX-30903</t>
        </is>
      </c>
      <c r="B130" s="11" t="n">
        <v>46253</v>
      </c>
      <c r="C130" t="inlineStr">
        <is>
          <t>E-1004</t>
        </is>
      </c>
      <c r="D130" t="inlineStr">
        <is>
          <t>Engineering</t>
        </is>
      </c>
      <c r="E130" t="inlineStr">
        <is>
          <t>V-1170</t>
        </is>
      </c>
      <c r="F130" t="inlineStr">
        <is>
          <t>Marketing</t>
        </is>
      </c>
      <c r="G130" s="12" t="n">
        <v>9617.9</v>
      </c>
      <c r="H130" t="inlineStr">
        <is>
          <t>PO-88175</t>
        </is>
      </c>
      <c r="I130" t="inlineStr">
        <is>
          <t>E-1000</t>
        </is>
      </c>
      <c r="J130" t="inlineStr">
        <is>
          <t>Annual licence</t>
        </is>
      </c>
    </row>
    <row r="131">
      <c r="A131" t="inlineStr">
        <is>
          <t>TX-30910</t>
        </is>
      </c>
      <c r="B131" s="11" t="n">
        <v>46254</v>
      </c>
      <c r="C131" t="inlineStr">
        <is>
          <t>E-1040</t>
        </is>
      </c>
      <c r="D131" t="inlineStr">
        <is>
          <t>Operations</t>
        </is>
      </c>
      <c r="E131" t="inlineStr">
        <is>
          <t>V-1102</t>
        </is>
      </c>
      <c r="F131" t="inlineStr">
        <is>
          <t>Office supplies</t>
        </is>
      </c>
      <c r="G131" s="12" t="n">
        <v>2100.81</v>
      </c>
      <c r="H131" t="inlineStr">
        <is>
          <t>PO-88281</t>
        </is>
      </c>
      <c r="I131" t="inlineStr">
        <is>
          <t>E-1022</t>
        </is>
      </c>
      <c r="J131" t="inlineStr">
        <is>
          <t>Replacement</t>
        </is>
      </c>
    </row>
    <row r="132">
      <c r="A132" t="inlineStr">
        <is>
          <t>TX-30917</t>
        </is>
      </c>
      <c r="B132" s="11" t="n">
        <v>46254</v>
      </c>
      <c r="C132" t="inlineStr">
        <is>
          <t>E-1028</t>
        </is>
      </c>
      <c r="D132" t="inlineStr">
        <is>
          <t>Engineering</t>
        </is>
      </c>
      <c r="E132" t="inlineStr">
        <is>
          <t>V-1172</t>
        </is>
      </c>
      <c r="F132" t="inlineStr">
        <is>
          <t>Marketing</t>
        </is>
      </c>
      <c r="G132" s="12" t="n">
        <v>15937.48</v>
      </c>
      <c r="H132" t="inlineStr">
        <is>
          <t>PO-88334</t>
        </is>
      </c>
      <c r="I132" t="inlineStr">
        <is>
          <t>E-1000</t>
        </is>
      </c>
      <c r="J132" t="inlineStr">
        <is>
          <t>Monthly invoice</t>
        </is>
      </c>
    </row>
    <row r="133">
      <c r="A133" t="inlineStr">
        <is>
          <t>TX-30924</t>
        </is>
      </c>
      <c r="B133" s="11" t="n">
        <v>46254</v>
      </c>
      <c r="C133" t="inlineStr">
        <is>
          <t>E-1004</t>
        </is>
      </c>
      <c r="D133" t="inlineStr">
        <is>
          <t>Engineering</t>
        </is>
      </c>
      <c r="E133" t="inlineStr">
        <is>
          <t>V-1109</t>
        </is>
      </c>
      <c r="F133" t="inlineStr">
        <is>
          <t>Shipping</t>
        </is>
      </c>
      <c r="G133" s="12" t="n">
        <v>322.16</v>
      </c>
      <c r="H133" t="inlineStr"/>
      <c r="I133" t="inlineStr">
        <is>
          <t>E-1026</t>
        </is>
      </c>
      <c r="J133" t="inlineStr">
        <is>
          <t>Client meeting</t>
        </is>
      </c>
    </row>
    <row r="134">
      <c r="A134" t="inlineStr">
        <is>
          <t>TX-30931</t>
        </is>
      </c>
      <c r="B134" s="11" t="n">
        <v>46255</v>
      </c>
      <c r="C134" t="inlineStr">
        <is>
          <t>E-1007</t>
        </is>
      </c>
      <c r="D134" t="inlineStr">
        <is>
          <t>Marketing</t>
        </is>
      </c>
      <c r="E134" t="inlineStr">
        <is>
          <t>V-1159</t>
        </is>
      </c>
      <c r="F134" t="inlineStr">
        <is>
          <t>Consulting</t>
        </is>
      </c>
      <c r="G134" s="12" t="n">
        <v>1925.54</v>
      </c>
      <c r="H134" t="inlineStr">
        <is>
          <t>PO-88165</t>
        </is>
      </c>
      <c r="I134" t="inlineStr">
        <is>
          <t>E-1039</t>
        </is>
      </c>
      <c r="J134" t="inlineStr">
        <is>
          <t>Q3 renewal</t>
        </is>
      </c>
    </row>
    <row r="135">
      <c r="A135" t="inlineStr">
        <is>
          <t>TX-30938</t>
        </is>
      </c>
      <c r="B135" s="11" t="n">
        <v>46255</v>
      </c>
      <c r="C135" t="inlineStr">
        <is>
          <t>E-1020</t>
        </is>
      </c>
      <c r="D135" t="inlineStr">
        <is>
          <t>Facilities</t>
        </is>
      </c>
      <c r="E135" t="inlineStr">
        <is>
          <t>V-1117</t>
        </is>
      </c>
      <c r="F135" t="inlineStr">
        <is>
          <t>Meals &amp; entertainment</t>
        </is>
      </c>
      <c r="G135" s="12" t="n">
        <v>79.78</v>
      </c>
      <c r="H135" t="inlineStr"/>
      <c r="I135" t="inlineStr">
        <is>
          <t>E-1040</t>
        </is>
      </c>
      <c r="J135" t="inlineStr">
        <is>
          <t>Q3 renewal</t>
        </is>
      </c>
    </row>
    <row r="136">
      <c r="A136" t="inlineStr">
        <is>
          <t>TX-30945</t>
        </is>
      </c>
      <c r="B136" s="11" t="n">
        <v>46255</v>
      </c>
      <c r="C136" t="inlineStr">
        <is>
          <t>E-1031</t>
        </is>
      </c>
      <c r="D136" t="inlineStr">
        <is>
          <t>Operations</t>
        </is>
      </c>
      <c r="E136" t="inlineStr">
        <is>
          <t>V-1124</t>
        </is>
      </c>
      <c r="F136" t="inlineStr">
        <is>
          <t>Facilities</t>
        </is>
      </c>
      <c r="G136" s="12" t="n">
        <v>317.47</v>
      </c>
      <c r="H136" t="inlineStr"/>
      <c r="I136" t="inlineStr">
        <is>
          <t>E-1019</t>
        </is>
      </c>
      <c r="J136" t="inlineStr">
        <is>
          <t>Monthly invoice</t>
        </is>
      </c>
    </row>
    <row r="137">
      <c r="A137" t="inlineStr">
        <is>
          <t>TX-30952</t>
        </is>
      </c>
      <c r="B137" s="11" t="n">
        <v>46258</v>
      </c>
      <c r="C137" t="inlineStr">
        <is>
          <t>E-1039</t>
        </is>
      </c>
      <c r="D137" t="inlineStr">
        <is>
          <t>Operations</t>
        </is>
      </c>
      <c r="E137" t="inlineStr">
        <is>
          <t>V-1117</t>
        </is>
      </c>
      <c r="F137" t="inlineStr">
        <is>
          <t>Meals &amp; entertainment</t>
        </is>
      </c>
      <c r="G137" s="12" t="n">
        <v>246.99</v>
      </c>
      <c r="H137" t="inlineStr"/>
      <c r="I137" t="inlineStr">
        <is>
          <t>E-1019</t>
        </is>
      </c>
      <c r="J137" t="inlineStr">
        <is>
          <t>Ad hoc</t>
        </is>
      </c>
    </row>
    <row r="138">
      <c r="A138" t="inlineStr">
        <is>
          <t>TX-30959</t>
        </is>
      </c>
      <c r="B138" s="11" t="n">
        <v>46259</v>
      </c>
      <c r="C138" t="inlineStr">
        <is>
          <t>E-1030</t>
        </is>
      </c>
      <c r="D138" t="inlineStr">
        <is>
          <t>Marketing</t>
        </is>
      </c>
      <c r="E138" t="inlineStr">
        <is>
          <t>V-1128</t>
        </is>
      </c>
      <c r="F138" t="inlineStr">
        <is>
          <t>Training</t>
        </is>
      </c>
      <c r="G138" s="12" t="n">
        <v>306.84</v>
      </c>
      <c r="H138" t="inlineStr"/>
      <c r="I138" t="inlineStr">
        <is>
          <t>E-1040</t>
        </is>
      </c>
      <c r="J138" t="inlineStr"/>
    </row>
    <row r="139">
      <c r="A139" t="inlineStr">
        <is>
          <t>TX-30966</t>
        </is>
      </c>
      <c r="B139" s="11" t="n">
        <v>46259</v>
      </c>
      <c r="C139" t="inlineStr">
        <is>
          <t>E-1039</t>
        </is>
      </c>
      <c r="D139" t="inlineStr">
        <is>
          <t>Operations</t>
        </is>
      </c>
      <c r="E139" t="inlineStr">
        <is>
          <t>V-1139</t>
        </is>
      </c>
      <c r="F139" t="inlineStr">
        <is>
          <t>Meals &amp; entertainment</t>
        </is>
      </c>
      <c r="G139" s="12" t="n">
        <v>2320.42</v>
      </c>
      <c r="H139" t="inlineStr">
        <is>
          <t>PO-88120</t>
        </is>
      </c>
      <c r="I139" t="inlineStr">
        <is>
          <t>E-1037</t>
        </is>
      </c>
      <c r="J139" t="inlineStr">
        <is>
          <t>Ad hoc</t>
        </is>
      </c>
    </row>
    <row r="140">
      <c r="A140" t="inlineStr">
        <is>
          <t>TX-30973</t>
        </is>
      </c>
      <c r="B140" s="11" t="n">
        <v>46259</v>
      </c>
      <c r="C140" t="inlineStr">
        <is>
          <t>E-1023</t>
        </is>
      </c>
      <c r="D140" t="inlineStr">
        <is>
          <t>Sales</t>
        </is>
      </c>
      <c r="E140" t="inlineStr">
        <is>
          <t>V-1114</t>
        </is>
      </c>
      <c r="F140" t="inlineStr">
        <is>
          <t>Travel</t>
        </is>
      </c>
      <c r="G140" s="12" t="n">
        <v>5340.38</v>
      </c>
      <c r="H140" t="inlineStr">
        <is>
          <t>PO-88147</t>
        </is>
      </c>
      <c r="I140" t="inlineStr">
        <is>
          <t>E-1000</t>
        </is>
      </c>
      <c r="J140" t="inlineStr">
        <is>
          <t>Client meeting</t>
        </is>
      </c>
    </row>
    <row r="141">
      <c r="A141" t="inlineStr">
        <is>
          <t>TX-30980</t>
        </is>
      </c>
      <c r="B141" s="11" t="n">
        <v>46259</v>
      </c>
      <c r="C141" t="inlineStr">
        <is>
          <t>E-1011</t>
        </is>
      </c>
      <c r="D141" t="inlineStr">
        <is>
          <t>Engineering</t>
        </is>
      </c>
      <c r="E141" t="inlineStr">
        <is>
          <t>V-1183</t>
        </is>
      </c>
      <c r="F141" t="inlineStr">
        <is>
          <t>Consulting</t>
        </is>
      </c>
      <c r="G141" s="12" t="n">
        <v>2919.57</v>
      </c>
      <c r="H141" t="inlineStr">
        <is>
          <t>PO-88275</t>
        </is>
      </c>
      <c r="I141" t="inlineStr">
        <is>
          <t>E-1039</t>
        </is>
      </c>
      <c r="J141" t="inlineStr">
        <is>
          <t>Client meeting</t>
        </is>
      </c>
    </row>
    <row r="142">
      <c r="A142" t="inlineStr">
        <is>
          <t>TX-30987</t>
        </is>
      </c>
      <c r="B142" s="11" t="n">
        <v>46260</v>
      </c>
      <c r="C142" t="inlineStr">
        <is>
          <t>E-1032</t>
        </is>
      </c>
      <c r="D142" t="inlineStr">
        <is>
          <t>Sales</t>
        </is>
      </c>
      <c r="E142" t="inlineStr">
        <is>
          <t>V-1148</t>
        </is>
      </c>
      <c r="F142" t="inlineStr">
        <is>
          <t>Events</t>
        </is>
      </c>
      <c r="G142" s="12" t="n">
        <v>379.36</v>
      </c>
      <c r="H142" t="inlineStr"/>
      <c r="I142" t="inlineStr">
        <is>
          <t>E-1017</t>
        </is>
      </c>
      <c r="J142" t="inlineStr">
        <is>
          <t>Annual licence</t>
        </is>
      </c>
    </row>
    <row r="143">
      <c r="A143" t="inlineStr">
        <is>
          <t>TX-30994</t>
        </is>
      </c>
      <c r="B143" s="11" t="n">
        <v>46260</v>
      </c>
      <c r="C143" t="inlineStr">
        <is>
          <t>E-1017</t>
        </is>
      </c>
      <c r="D143" t="inlineStr">
        <is>
          <t>Sales</t>
        </is>
      </c>
      <c r="E143" t="inlineStr">
        <is>
          <t>V-1124</t>
        </is>
      </c>
      <c r="F143" t="inlineStr">
        <is>
          <t>Facilities</t>
        </is>
      </c>
      <c r="G143" s="12" t="n">
        <v>226.93</v>
      </c>
      <c r="H143" t="inlineStr"/>
      <c r="I143" t="inlineStr">
        <is>
          <t>E-1033</t>
        </is>
      </c>
      <c r="J143" t="inlineStr">
        <is>
          <t>Monthly invoice</t>
        </is>
      </c>
    </row>
    <row r="144">
      <c r="A144" t="inlineStr">
        <is>
          <t>TX-31001</t>
        </is>
      </c>
      <c r="B144" s="11" t="n">
        <v>46261</v>
      </c>
      <c r="C144" t="inlineStr">
        <is>
          <t>E-1027</t>
        </is>
      </c>
      <c r="D144" t="inlineStr">
        <is>
          <t>Finance</t>
        </is>
      </c>
      <c r="E144" t="inlineStr">
        <is>
          <t>V-1183</t>
        </is>
      </c>
      <c r="F144" t="inlineStr">
        <is>
          <t>Consulting</t>
        </is>
      </c>
      <c r="G144" s="12" t="n">
        <v>5403.95</v>
      </c>
      <c r="H144" t="inlineStr">
        <is>
          <t>PO-88267</t>
        </is>
      </c>
      <c r="I144" t="inlineStr">
        <is>
          <t>E-1000</t>
        </is>
      </c>
      <c r="J144" t="inlineStr">
        <is>
          <t>Client meeting</t>
        </is>
      </c>
    </row>
    <row r="145">
      <c r="A145" t="inlineStr">
        <is>
          <t>TX-31008</t>
        </is>
      </c>
      <c r="B145" s="11" t="n">
        <v>46261</v>
      </c>
      <c r="C145" t="inlineStr">
        <is>
          <t>E-1011</t>
        </is>
      </c>
      <c r="D145" t="inlineStr">
        <is>
          <t>Engineering</t>
        </is>
      </c>
      <c r="E145" t="inlineStr">
        <is>
          <t>V-1139</t>
        </is>
      </c>
      <c r="F145" t="inlineStr">
        <is>
          <t>Meals &amp; entertainment</t>
        </is>
      </c>
      <c r="G145" s="12" t="n">
        <v>181.71</v>
      </c>
      <c r="H145" t="inlineStr"/>
      <c r="I145" t="inlineStr">
        <is>
          <t>E-1040</t>
        </is>
      </c>
      <c r="J145" t="inlineStr">
        <is>
          <t>Client meeting</t>
        </is>
      </c>
    </row>
    <row r="146">
      <c r="A146" t="inlineStr">
        <is>
          <t>TX-31015</t>
        </is>
      </c>
      <c r="B146" s="11" t="n">
        <v>46261</v>
      </c>
      <c r="C146" t="inlineStr">
        <is>
          <t>E-1002</t>
        </is>
      </c>
      <c r="D146" t="inlineStr">
        <is>
          <t>Operations</t>
        </is>
      </c>
      <c r="E146" t="inlineStr">
        <is>
          <t>V-1106</t>
        </is>
      </c>
      <c r="F146" t="inlineStr">
        <is>
          <t>Software &amp; hosting</t>
        </is>
      </c>
      <c r="G146" s="12" t="n">
        <v>129.57</v>
      </c>
      <c r="H146" t="inlineStr"/>
      <c r="I146" t="inlineStr">
        <is>
          <t>E-1035</t>
        </is>
      </c>
      <c r="J146" t="inlineStr"/>
    </row>
    <row r="147">
      <c r="A147" t="inlineStr">
        <is>
          <t>TX-31022</t>
        </is>
      </c>
      <c r="B147" s="11" t="n">
        <v>46261</v>
      </c>
      <c r="C147" t="inlineStr">
        <is>
          <t>E-1037</t>
        </is>
      </c>
      <c r="D147" t="inlineStr">
        <is>
          <t>Marketing</t>
        </is>
      </c>
      <c r="E147" t="inlineStr">
        <is>
          <t>V-1183</t>
        </is>
      </c>
      <c r="F147" t="inlineStr">
        <is>
          <t>Consulting</t>
        </is>
      </c>
      <c r="G147" s="12" t="n">
        <v>2007.07</v>
      </c>
      <c r="H147" t="inlineStr">
        <is>
          <t>PO-88354</t>
        </is>
      </c>
      <c r="I147" t="inlineStr">
        <is>
          <t>E-1012</t>
        </is>
      </c>
      <c r="J147" t="inlineStr">
        <is>
          <t>Client meeting</t>
        </is>
      </c>
    </row>
    <row r="148">
      <c r="A148" t="inlineStr">
        <is>
          <t>TX-31029</t>
        </is>
      </c>
      <c r="B148" s="11" t="n">
        <v>46261</v>
      </c>
      <c r="C148" t="inlineStr">
        <is>
          <t>E-1034</t>
        </is>
      </c>
      <c r="D148" t="inlineStr">
        <is>
          <t>Marketing</t>
        </is>
      </c>
      <c r="E148" t="inlineStr">
        <is>
          <t>V-1144</t>
        </is>
      </c>
      <c r="F148" t="inlineStr">
        <is>
          <t>Travel</t>
        </is>
      </c>
      <c r="G148" s="12" t="n">
        <v>2964.53</v>
      </c>
      <c r="H148" t="inlineStr">
        <is>
          <t>PO-88357</t>
        </is>
      </c>
      <c r="I148" t="inlineStr">
        <is>
          <t>E-1040</t>
        </is>
      </c>
      <c r="J148" t="inlineStr">
        <is>
          <t>Q3 renewal</t>
        </is>
      </c>
    </row>
    <row r="149">
      <c r="A149" t="inlineStr">
        <is>
          <t>TX-31036</t>
        </is>
      </c>
      <c r="B149" s="11" t="n">
        <v>46261</v>
      </c>
      <c r="C149" t="inlineStr">
        <is>
          <t>E-1030</t>
        </is>
      </c>
      <c r="D149" t="inlineStr">
        <is>
          <t>Marketing</t>
        </is>
      </c>
      <c r="E149" t="inlineStr">
        <is>
          <t>V-1187</t>
        </is>
      </c>
      <c r="F149" t="inlineStr">
        <is>
          <t>Consulting</t>
        </is>
      </c>
      <c r="G149" s="12" t="n">
        <v>4833.6</v>
      </c>
      <c r="H149" t="inlineStr"/>
      <c r="I149" t="inlineStr">
        <is>
          <t>E-1022</t>
        </is>
      </c>
      <c r="J149" t="inlineStr">
        <is>
          <t>Workshop facilitation</t>
        </is>
      </c>
    </row>
    <row r="150">
      <c r="A150" t="inlineStr">
        <is>
          <t>TX-31043</t>
        </is>
      </c>
      <c r="B150" s="11" t="n">
        <v>46262</v>
      </c>
      <c r="C150" t="inlineStr">
        <is>
          <t>E-1004</t>
        </is>
      </c>
      <c r="D150" t="inlineStr">
        <is>
          <t>Engineering</t>
        </is>
      </c>
      <c r="E150" t="inlineStr">
        <is>
          <t>V-1143</t>
        </is>
      </c>
      <c r="F150" t="inlineStr">
        <is>
          <t>Marketing</t>
        </is>
      </c>
      <c r="G150" s="12" t="n">
        <v>436.02</v>
      </c>
      <c r="H150" t="inlineStr"/>
      <c r="I150" t="inlineStr">
        <is>
          <t>E-1019</t>
        </is>
      </c>
      <c r="J150" t="inlineStr"/>
    </row>
    <row r="151">
      <c r="A151" t="inlineStr">
        <is>
          <t>TX-31050</t>
        </is>
      </c>
      <c r="B151" s="11" t="n">
        <v>46262</v>
      </c>
      <c r="C151" t="inlineStr">
        <is>
          <t>E-1033</t>
        </is>
      </c>
      <c r="D151" t="inlineStr">
        <is>
          <t>Facilities</t>
        </is>
      </c>
      <c r="E151" t="inlineStr">
        <is>
          <t>V-1170</t>
        </is>
      </c>
      <c r="F151" t="inlineStr">
        <is>
          <t>Marketing</t>
        </is>
      </c>
      <c r="G151" s="12" t="n">
        <v>2923.54</v>
      </c>
      <c r="H151" t="inlineStr">
        <is>
          <t>PO-88347</t>
        </is>
      </c>
      <c r="I151" t="inlineStr">
        <is>
          <t>E-1009</t>
        </is>
      </c>
      <c r="J151" t="inlineStr">
        <is>
          <t>Team offsite</t>
        </is>
      </c>
    </row>
    <row r="152">
      <c r="A152" t="inlineStr">
        <is>
          <t>TX-31057</t>
        </is>
      </c>
      <c r="B152" s="11" t="n">
        <v>46265</v>
      </c>
      <c r="C152" t="inlineStr">
        <is>
          <t>E-1002</t>
        </is>
      </c>
      <c r="D152" t="inlineStr">
        <is>
          <t>Operations</t>
        </is>
      </c>
      <c r="E152" t="inlineStr">
        <is>
          <t>V-1148</t>
        </is>
      </c>
      <c r="F152" t="inlineStr">
        <is>
          <t>Events</t>
        </is>
      </c>
      <c r="G152" s="12" t="n">
        <v>156.18</v>
      </c>
      <c r="H152" t="inlineStr"/>
      <c r="I152" t="inlineStr">
        <is>
          <t>E-1032</t>
        </is>
      </c>
      <c r="J152" t="inlineStr"/>
    </row>
    <row r="153">
      <c r="A153" t="inlineStr">
        <is>
          <t>TX-31064</t>
        </is>
      </c>
      <c r="B153" s="11" t="n">
        <v>46265</v>
      </c>
      <c r="C153" t="inlineStr">
        <is>
          <t>E-1021</t>
        </is>
      </c>
      <c r="D153" t="inlineStr">
        <is>
          <t>Engineering</t>
        </is>
      </c>
      <c r="E153" t="inlineStr">
        <is>
          <t>V-1128</t>
        </is>
      </c>
      <c r="F153" t="inlineStr">
        <is>
          <t>Training</t>
        </is>
      </c>
      <c r="G153" s="12" t="n">
        <v>13.51</v>
      </c>
      <c r="H153" t="inlineStr"/>
      <c r="I153" t="inlineStr">
        <is>
          <t>E-1012</t>
        </is>
      </c>
      <c r="J153" t="inlineStr">
        <is>
          <t>Q3 renewal</t>
        </is>
      </c>
    </row>
    <row r="154">
      <c r="A154" t="inlineStr">
        <is>
          <t>TX-31071</t>
        </is>
      </c>
      <c r="B154" s="11" t="n">
        <v>46265</v>
      </c>
      <c r="C154" t="inlineStr">
        <is>
          <t>E-1039</t>
        </is>
      </c>
      <c r="D154" t="inlineStr">
        <is>
          <t>Operations</t>
        </is>
      </c>
      <c r="E154" t="inlineStr">
        <is>
          <t>V-1124</t>
        </is>
      </c>
      <c r="F154" t="inlineStr">
        <is>
          <t>Facilities</t>
        </is>
      </c>
      <c r="G154" s="12" t="n">
        <v>2367.23</v>
      </c>
      <c r="H154" t="inlineStr">
        <is>
          <t>PO-88160</t>
        </is>
      </c>
      <c r="I154" t="inlineStr">
        <is>
          <t>E-1040</t>
        </is>
      </c>
      <c r="J154" t="inlineStr">
        <is>
          <t>Replacement</t>
        </is>
      </c>
    </row>
    <row r="155">
      <c r="A155" t="inlineStr">
        <is>
          <t>TX-31078</t>
        </is>
      </c>
      <c r="B155" s="11" t="n">
        <v>46265</v>
      </c>
      <c r="C155" t="inlineStr">
        <is>
          <t>E-1019</t>
        </is>
      </c>
      <c r="D155" t="inlineStr">
        <is>
          <t>Engineering</t>
        </is>
      </c>
      <c r="E155" t="inlineStr">
        <is>
          <t>V-1134</t>
        </is>
      </c>
      <c r="F155" t="inlineStr">
        <is>
          <t>Shipping</t>
        </is>
      </c>
      <c r="G155" s="12" t="n">
        <v>2184.7</v>
      </c>
      <c r="H155" t="inlineStr">
        <is>
          <t>PO-88224</t>
        </is>
      </c>
      <c r="I155" t="inlineStr">
        <is>
          <t>E-1026</t>
        </is>
      </c>
      <c r="J155" t="inlineStr"/>
    </row>
    <row r="156">
      <c r="A156" t="inlineStr">
        <is>
          <t>TX-31085</t>
        </is>
      </c>
      <c r="B156" s="11" t="n">
        <v>46266</v>
      </c>
      <c r="C156" t="inlineStr">
        <is>
          <t>E-1017</t>
        </is>
      </c>
      <c r="D156" t="inlineStr">
        <is>
          <t>Sales</t>
        </is>
      </c>
      <c r="E156" t="inlineStr">
        <is>
          <t>V-1143</t>
        </is>
      </c>
      <c r="F156" t="inlineStr">
        <is>
          <t>Marketing</t>
        </is>
      </c>
      <c r="G156" s="12" t="n">
        <v>6209</v>
      </c>
      <c r="H156" t="inlineStr">
        <is>
          <t>PO-88058</t>
        </is>
      </c>
      <c r="I156" t="inlineStr">
        <is>
          <t>E-1000</t>
        </is>
      </c>
      <c r="J156" t="inlineStr">
        <is>
          <t>Ad hoc</t>
        </is>
      </c>
    </row>
    <row r="157">
      <c r="A157" t="inlineStr">
        <is>
          <t>TX-31092</t>
        </is>
      </c>
      <c r="B157" s="11" t="n">
        <v>46266</v>
      </c>
      <c r="C157" t="inlineStr">
        <is>
          <t>E-1005</t>
        </is>
      </c>
      <c r="D157" t="inlineStr">
        <is>
          <t>Sales</t>
        </is>
      </c>
      <c r="E157" t="inlineStr">
        <is>
          <t>V-1154</t>
        </is>
      </c>
      <c r="F157" t="inlineStr">
        <is>
          <t>Travel</t>
        </is>
      </c>
      <c r="G157" s="12" t="n">
        <v>38.87</v>
      </c>
      <c r="H157" t="inlineStr"/>
      <c r="I157" t="inlineStr">
        <is>
          <t>E-1033</t>
        </is>
      </c>
      <c r="J157" t="inlineStr"/>
    </row>
    <row r="158">
      <c r="A158" t="inlineStr">
        <is>
          <t>TX-31099</t>
        </is>
      </c>
      <c r="B158" s="11" t="n">
        <v>46267</v>
      </c>
      <c r="C158" t="inlineStr">
        <is>
          <t>E-1016</t>
        </is>
      </c>
      <c r="D158" t="inlineStr">
        <is>
          <t>People</t>
        </is>
      </c>
      <c r="E158" t="inlineStr">
        <is>
          <t>V-1139</t>
        </is>
      </c>
      <c r="F158" t="inlineStr">
        <is>
          <t>Meals &amp; entertainment</t>
        </is>
      </c>
      <c r="G158" s="12" t="n">
        <v>1313.16</v>
      </c>
      <c r="H158" t="inlineStr">
        <is>
          <t>PO-88095</t>
        </is>
      </c>
      <c r="I158" t="inlineStr">
        <is>
          <t>E-1032</t>
        </is>
      </c>
      <c r="J158" t="inlineStr">
        <is>
          <t>Ad hoc</t>
        </is>
      </c>
    </row>
    <row r="159">
      <c r="A159" t="inlineStr">
        <is>
          <t>TX-31106</t>
        </is>
      </c>
      <c r="B159" s="11" t="n">
        <v>46267</v>
      </c>
      <c r="C159" t="inlineStr">
        <is>
          <t>E-1034</t>
        </is>
      </c>
      <c r="D159" t="inlineStr">
        <is>
          <t>Marketing</t>
        </is>
      </c>
      <c r="E159" t="inlineStr">
        <is>
          <t>V-1183</t>
        </is>
      </c>
      <c r="F159" t="inlineStr">
        <is>
          <t>Consulting</t>
        </is>
      </c>
      <c r="G159" s="12" t="n">
        <v>1104.47</v>
      </c>
      <c r="H159" t="inlineStr">
        <is>
          <t>PO-88108</t>
        </is>
      </c>
      <c r="I159" t="inlineStr">
        <is>
          <t>E-1009</t>
        </is>
      </c>
      <c r="J159" t="inlineStr">
        <is>
          <t>Team offsite</t>
        </is>
      </c>
    </row>
    <row r="160">
      <c r="A160" t="inlineStr">
        <is>
          <t>TX-31113</t>
        </is>
      </c>
      <c r="B160" s="11" t="n">
        <v>46267</v>
      </c>
      <c r="C160" t="inlineStr">
        <is>
          <t>E-1032</t>
        </is>
      </c>
      <c r="D160" t="inlineStr">
        <is>
          <t>Sales</t>
        </is>
      </c>
      <c r="E160" t="inlineStr">
        <is>
          <t>V-1109</t>
        </is>
      </c>
      <c r="F160" t="inlineStr">
        <is>
          <t>Shipping</t>
        </is>
      </c>
      <c r="G160" s="12" t="n">
        <v>2294.79</v>
      </c>
      <c r="H160" t="inlineStr">
        <is>
          <t>PO-88117</t>
        </is>
      </c>
      <c r="I160" t="inlineStr">
        <is>
          <t>E-1026</t>
        </is>
      </c>
      <c r="J160" t="inlineStr"/>
    </row>
    <row r="161">
      <c r="A161" t="inlineStr">
        <is>
          <t>TX-31120</t>
        </is>
      </c>
      <c r="B161" s="11" t="n">
        <v>46267</v>
      </c>
      <c r="C161" t="inlineStr">
        <is>
          <t>E-1029</t>
        </is>
      </c>
      <c r="D161" t="inlineStr">
        <is>
          <t>Sales</t>
        </is>
      </c>
      <c r="E161" t="inlineStr">
        <is>
          <t>V-1185</t>
        </is>
      </c>
      <c r="F161" t="inlineStr">
        <is>
          <t>Facilities</t>
        </is>
      </c>
      <c r="G161" s="12" t="n">
        <v>2015.85</v>
      </c>
      <c r="H161" t="inlineStr">
        <is>
          <t>PO-88163</t>
        </is>
      </c>
      <c r="I161" t="inlineStr">
        <is>
          <t>E-1026</t>
        </is>
      </c>
      <c r="J161" t="inlineStr">
        <is>
          <t>Replacement</t>
        </is>
      </c>
    </row>
    <row r="162">
      <c r="A162" t="inlineStr">
        <is>
          <t>TX-31127</t>
        </is>
      </c>
      <c r="B162" s="11" t="n">
        <v>46268</v>
      </c>
      <c r="C162" t="inlineStr">
        <is>
          <t>E-1032</t>
        </is>
      </c>
      <c r="D162" t="inlineStr">
        <is>
          <t>Sales</t>
        </is>
      </c>
      <c r="E162" t="inlineStr">
        <is>
          <t>V-1134</t>
        </is>
      </c>
      <c r="F162" t="inlineStr">
        <is>
          <t>Shipping</t>
        </is>
      </c>
      <c r="G162" s="12" t="n">
        <v>309.18</v>
      </c>
      <c r="H162" t="inlineStr"/>
      <c r="I162" t="inlineStr">
        <is>
          <t>E-1026</t>
        </is>
      </c>
      <c r="J162" t="inlineStr">
        <is>
          <t>Replacement</t>
        </is>
      </c>
    </row>
    <row r="163">
      <c r="A163" t="inlineStr">
        <is>
          <t>TX-31134</t>
        </is>
      </c>
      <c r="B163" s="11" t="n">
        <v>46268</v>
      </c>
      <c r="C163" t="inlineStr">
        <is>
          <t>E-1001</t>
        </is>
      </c>
      <c r="D163" t="inlineStr">
        <is>
          <t>Operations</t>
        </is>
      </c>
      <c r="E163" t="inlineStr">
        <is>
          <t>V-1128</t>
        </is>
      </c>
      <c r="F163" t="inlineStr">
        <is>
          <t>Training</t>
        </is>
      </c>
      <c r="G163" s="12" t="n">
        <v>200.02</v>
      </c>
      <c r="H163" t="inlineStr"/>
      <c r="I163" t="inlineStr">
        <is>
          <t>E-1037</t>
        </is>
      </c>
      <c r="J163" t="inlineStr">
        <is>
          <t>Team offsite</t>
        </is>
      </c>
    </row>
    <row r="164">
      <c r="A164" t="inlineStr">
        <is>
          <t>TX-31141</t>
        </is>
      </c>
      <c r="B164" s="11" t="n">
        <v>46268</v>
      </c>
      <c r="C164" t="inlineStr">
        <is>
          <t>E-1004</t>
        </is>
      </c>
      <c r="D164" t="inlineStr">
        <is>
          <t>Engineering</t>
        </is>
      </c>
      <c r="E164" t="inlineStr">
        <is>
          <t>V-1124</t>
        </is>
      </c>
      <c r="F164" t="inlineStr">
        <is>
          <t>Facilities</t>
        </is>
      </c>
      <c r="G164" s="12" t="n">
        <v>89.33</v>
      </c>
      <c r="H164" t="inlineStr"/>
      <c r="I164" t="inlineStr">
        <is>
          <t>E-1040</t>
        </is>
      </c>
      <c r="J164" t="inlineStr">
        <is>
          <t>Ad hoc</t>
        </is>
      </c>
    </row>
    <row r="165">
      <c r="A165" t="inlineStr">
        <is>
          <t>TX-31148</t>
        </is>
      </c>
      <c r="B165" s="11" t="n">
        <v>46268</v>
      </c>
      <c r="C165" t="inlineStr">
        <is>
          <t>E-1040</t>
        </is>
      </c>
      <c r="D165" t="inlineStr">
        <is>
          <t>Operations</t>
        </is>
      </c>
      <c r="E165" t="inlineStr">
        <is>
          <t>V-1128</t>
        </is>
      </c>
      <c r="F165" t="inlineStr">
        <is>
          <t>Training</t>
        </is>
      </c>
      <c r="G165" s="12" t="n">
        <v>329.25</v>
      </c>
      <c r="H165" t="inlineStr"/>
      <c r="I165" t="inlineStr">
        <is>
          <t>E-1039</t>
        </is>
      </c>
      <c r="J165" t="inlineStr">
        <is>
          <t>Monthly invoice</t>
        </is>
      </c>
    </row>
    <row r="166">
      <c r="A166" t="inlineStr">
        <is>
          <t>TX-31155</t>
        </is>
      </c>
      <c r="B166" s="11" t="n">
        <v>46269</v>
      </c>
      <c r="C166" t="inlineStr">
        <is>
          <t>E-1002</t>
        </is>
      </c>
      <c r="D166" t="inlineStr">
        <is>
          <t>Operations</t>
        </is>
      </c>
      <c r="E166" t="inlineStr">
        <is>
          <t>V-1143</t>
        </is>
      </c>
      <c r="F166" t="inlineStr">
        <is>
          <t>Marketing</t>
        </is>
      </c>
      <c r="G166" s="12" t="n">
        <v>2624.55</v>
      </c>
      <c r="H166" t="inlineStr">
        <is>
          <t>PO-88014</t>
        </is>
      </c>
      <c r="I166" t="inlineStr">
        <is>
          <t>E-1035</t>
        </is>
      </c>
      <c r="J166" t="inlineStr"/>
    </row>
    <row r="167">
      <c r="A167" t="inlineStr">
        <is>
          <t>TX-31162</t>
        </is>
      </c>
      <c r="B167" s="11" t="n">
        <v>46269</v>
      </c>
      <c r="C167" t="inlineStr">
        <is>
          <t>E-1028</t>
        </is>
      </c>
      <c r="D167" t="inlineStr">
        <is>
          <t>Engineering</t>
        </is>
      </c>
      <c r="E167" t="inlineStr">
        <is>
          <t>V-1183</t>
        </is>
      </c>
      <c r="F167" t="inlineStr">
        <is>
          <t>Consulting</t>
        </is>
      </c>
      <c r="G167" s="12" t="n">
        <v>2124</v>
      </c>
      <c r="H167" t="inlineStr">
        <is>
          <t>PO-88162</t>
        </is>
      </c>
      <c r="I167" t="inlineStr">
        <is>
          <t>E-1039</t>
        </is>
      </c>
      <c r="J167" t="inlineStr">
        <is>
          <t>Replacement</t>
        </is>
      </c>
    </row>
    <row r="168">
      <c r="A168" t="inlineStr">
        <is>
          <t>TX-31169</t>
        </is>
      </c>
      <c r="B168" s="11" t="n">
        <v>46269</v>
      </c>
      <c r="C168" t="inlineStr">
        <is>
          <t>E-1026</t>
        </is>
      </c>
      <c r="D168" t="inlineStr">
        <is>
          <t>Sales</t>
        </is>
      </c>
      <c r="E168" t="inlineStr">
        <is>
          <t>V-1165</t>
        </is>
      </c>
      <c r="F168" t="inlineStr">
        <is>
          <t>Insurance</t>
        </is>
      </c>
      <c r="G168" s="12" t="n">
        <v>630.98</v>
      </c>
      <c r="H168" t="inlineStr"/>
      <c r="I168" t="inlineStr">
        <is>
          <t>E-1019</t>
        </is>
      </c>
      <c r="J168" t="inlineStr">
        <is>
          <t>Q3 renewal</t>
        </is>
      </c>
    </row>
    <row r="169">
      <c r="A169" t="inlineStr">
        <is>
          <t>TX-31176</t>
        </is>
      </c>
      <c r="B169" s="11" t="n">
        <v>46269</v>
      </c>
      <c r="C169" t="inlineStr">
        <is>
          <t>E-1029</t>
        </is>
      </c>
      <c r="D169" t="inlineStr">
        <is>
          <t>Sales</t>
        </is>
      </c>
      <c r="E169" t="inlineStr">
        <is>
          <t>V-1159</t>
        </is>
      </c>
      <c r="F169" t="inlineStr">
        <is>
          <t>Consulting</t>
        </is>
      </c>
      <c r="G169" s="12" t="n">
        <v>682.87</v>
      </c>
      <c r="H169" t="inlineStr"/>
      <c r="I169" t="inlineStr">
        <is>
          <t>E-1012</t>
        </is>
      </c>
      <c r="J169" t="inlineStr">
        <is>
          <t>Team offsite</t>
        </is>
      </c>
    </row>
    <row r="170">
      <c r="A170" t="inlineStr">
        <is>
          <t>TX-31183</t>
        </is>
      </c>
      <c r="B170" s="11" t="n">
        <v>46272</v>
      </c>
      <c r="C170" t="inlineStr">
        <is>
          <t>E-1038</t>
        </is>
      </c>
      <c r="D170" t="inlineStr">
        <is>
          <t>Marketing</t>
        </is>
      </c>
      <c r="E170" t="inlineStr">
        <is>
          <t>V-1185</t>
        </is>
      </c>
      <c r="F170" t="inlineStr">
        <is>
          <t>Facilities</t>
        </is>
      </c>
      <c r="G170" s="12" t="n">
        <v>122.5</v>
      </c>
      <c r="H170" t="inlineStr"/>
      <c r="I170" t="inlineStr">
        <is>
          <t>E-1012</t>
        </is>
      </c>
      <c r="J170" t="inlineStr">
        <is>
          <t>Team offsite</t>
        </is>
      </c>
    </row>
    <row r="171">
      <c r="A171" t="inlineStr">
        <is>
          <t>TX-31190</t>
        </is>
      </c>
      <c r="B171" s="11" t="n">
        <v>46272</v>
      </c>
      <c r="C171" t="inlineStr">
        <is>
          <t>E-1009</t>
        </is>
      </c>
      <c r="D171" t="inlineStr">
        <is>
          <t>Facilities</t>
        </is>
      </c>
      <c r="E171" t="inlineStr">
        <is>
          <t>V-1114</t>
        </is>
      </c>
      <c r="F171" t="inlineStr">
        <is>
          <t>Travel</t>
        </is>
      </c>
      <c r="G171" s="12" t="n">
        <v>424.41</v>
      </c>
      <c r="H171" t="inlineStr"/>
      <c r="I171" t="inlineStr">
        <is>
          <t>E-1037</t>
        </is>
      </c>
      <c r="J171" t="inlineStr">
        <is>
          <t>Team offsite</t>
        </is>
      </c>
    </row>
    <row r="172">
      <c r="A172" t="inlineStr">
        <is>
          <t>TX-31197</t>
        </is>
      </c>
      <c r="B172" s="11" t="n">
        <v>46272</v>
      </c>
      <c r="C172" t="inlineStr">
        <is>
          <t>E-1001</t>
        </is>
      </c>
      <c r="D172" t="inlineStr">
        <is>
          <t>Operations</t>
        </is>
      </c>
      <c r="E172" t="inlineStr">
        <is>
          <t>V-1185</t>
        </is>
      </c>
      <c r="F172" t="inlineStr">
        <is>
          <t>Facilities</t>
        </is>
      </c>
      <c r="G172" s="12" t="n">
        <v>182.25</v>
      </c>
      <c r="H172" t="inlineStr"/>
      <c r="I172" t="inlineStr">
        <is>
          <t>E-1037</t>
        </is>
      </c>
      <c r="J172" t="inlineStr">
        <is>
          <t>Monthly invoice</t>
        </is>
      </c>
    </row>
    <row r="173">
      <c r="A173" t="inlineStr">
        <is>
          <t>TX-31204</t>
        </is>
      </c>
      <c r="B173" s="11" t="n">
        <v>46272</v>
      </c>
      <c r="C173" t="inlineStr">
        <is>
          <t>E-1038</t>
        </is>
      </c>
      <c r="D173" t="inlineStr">
        <is>
          <t>Marketing</t>
        </is>
      </c>
      <c r="E173" t="inlineStr">
        <is>
          <t>V-1143</t>
        </is>
      </c>
      <c r="F173" t="inlineStr">
        <is>
          <t>Marketing</t>
        </is>
      </c>
      <c r="G173" s="12" t="n">
        <v>277.6</v>
      </c>
      <c r="H173" t="inlineStr"/>
      <c r="I173" t="inlineStr">
        <is>
          <t>E-1009</t>
        </is>
      </c>
      <c r="J173" t="inlineStr">
        <is>
          <t>Monthly invoice</t>
        </is>
      </c>
    </row>
    <row r="174">
      <c r="A174" t="inlineStr">
        <is>
          <t>TX-31211</t>
        </is>
      </c>
      <c r="B174" s="11" t="n">
        <v>46273</v>
      </c>
      <c r="C174" t="inlineStr">
        <is>
          <t>E-1040</t>
        </is>
      </c>
      <c r="D174" t="inlineStr">
        <is>
          <t>Operations</t>
        </is>
      </c>
      <c r="E174" t="inlineStr">
        <is>
          <t>V-1185</t>
        </is>
      </c>
      <c r="F174" t="inlineStr">
        <is>
          <t>Facilities</t>
        </is>
      </c>
      <c r="G174" s="12" t="n">
        <v>376.28</v>
      </c>
      <c r="H174" t="inlineStr"/>
      <c r="I174" t="inlineStr">
        <is>
          <t>E-1026</t>
        </is>
      </c>
      <c r="J174" t="inlineStr">
        <is>
          <t>Ad hoc</t>
        </is>
      </c>
    </row>
    <row r="175">
      <c r="A175" t="inlineStr">
        <is>
          <t>TX-31218</t>
        </is>
      </c>
      <c r="B175" s="11" t="n">
        <v>46273</v>
      </c>
      <c r="C175" t="inlineStr">
        <is>
          <t>E-1015</t>
        </is>
      </c>
      <c r="D175" t="inlineStr">
        <is>
          <t>People</t>
        </is>
      </c>
      <c r="E175" t="inlineStr">
        <is>
          <t>V-1128</t>
        </is>
      </c>
      <c r="F175" t="inlineStr">
        <is>
          <t>Training</t>
        </is>
      </c>
      <c r="G175" s="12" t="n">
        <v>843.8200000000001</v>
      </c>
      <c r="H175" t="inlineStr"/>
      <c r="I175" t="inlineStr">
        <is>
          <t>E-1017</t>
        </is>
      </c>
      <c r="J175" t="inlineStr">
        <is>
          <t>Monthly invoice</t>
        </is>
      </c>
    </row>
    <row r="176">
      <c r="A176" t="inlineStr">
        <is>
          <t>TX-31225</t>
        </is>
      </c>
      <c r="B176" s="11" t="n">
        <v>46274</v>
      </c>
      <c r="C176" t="inlineStr">
        <is>
          <t>E-1007</t>
        </is>
      </c>
      <c r="D176" t="inlineStr">
        <is>
          <t>Marketing</t>
        </is>
      </c>
      <c r="E176" t="inlineStr">
        <is>
          <t>V-1102</t>
        </is>
      </c>
      <c r="F176" t="inlineStr">
        <is>
          <t>Office supplies</t>
        </is>
      </c>
      <c r="G176" s="12" t="n">
        <v>181.13</v>
      </c>
      <c r="H176" t="inlineStr"/>
      <c r="I176" t="inlineStr">
        <is>
          <t>E-1026</t>
        </is>
      </c>
      <c r="J176" t="inlineStr"/>
    </row>
    <row r="177">
      <c r="A177" t="inlineStr">
        <is>
          <t>TX-31232</t>
        </is>
      </c>
      <c r="B177" s="11" t="n">
        <v>46274</v>
      </c>
      <c r="C177" t="inlineStr">
        <is>
          <t>E-1003</t>
        </is>
      </c>
      <c r="D177" t="inlineStr">
        <is>
          <t>People</t>
        </is>
      </c>
      <c r="E177" t="inlineStr">
        <is>
          <t>V-1183</t>
        </is>
      </c>
      <c r="F177" t="inlineStr">
        <is>
          <t>Consulting</t>
        </is>
      </c>
      <c r="G177" s="12" t="n">
        <v>7143.66</v>
      </c>
      <c r="H177" t="inlineStr">
        <is>
          <t>PO-88183</t>
        </is>
      </c>
      <c r="I177" t="inlineStr">
        <is>
          <t>E-1000</t>
        </is>
      </c>
      <c r="J177" t="inlineStr"/>
    </row>
    <row r="178">
      <c r="A178" t="inlineStr">
        <is>
          <t>TX-31239</t>
        </is>
      </c>
      <c r="B178" s="11" t="n">
        <v>46274</v>
      </c>
      <c r="C178" t="inlineStr">
        <is>
          <t>E-1002</t>
        </is>
      </c>
      <c r="D178" t="inlineStr">
        <is>
          <t>Operations</t>
        </is>
      </c>
      <c r="E178" t="inlineStr">
        <is>
          <t>V-1106</t>
        </is>
      </c>
      <c r="F178" t="inlineStr">
        <is>
          <t>Software &amp; hosting</t>
        </is>
      </c>
      <c r="G178" s="12" t="n">
        <v>105.41</v>
      </c>
      <c r="H178" t="inlineStr"/>
      <c r="I178" t="inlineStr">
        <is>
          <t>E-1032</t>
        </is>
      </c>
      <c r="J178" t="inlineStr">
        <is>
          <t>Monthly invoice</t>
        </is>
      </c>
    </row>
    <row r="179">
      <c r="A179" t="inlineStr">
        <is>
          <t>TX-31246</t>
        </is>
      </c>
      <c r="B179" s="11" t="n">
        <v>46274</v>
      </c>
      <c r="C179" t="inlineStr">
        <is>
          <t>E-1020</t>
        </is>
      </c>
      <c r="D179" t="inlineStr">
        <is>
          <t>Facilities</t>
        </is>
      </c>
      <c r="E179" t="inlineStr">
        <is>
          <t>V-1139</t>
        </is>
      </c>
      <c r="F179" t="inlineStr">
        <is>
          <t>Meals &amp; entertainment</t>
        </is>
      </c>
      <c r="G179" s="12" t="n">
        <v>358</v>
      </c>
      <c r="H179" t="inlineStr"/>
      <c r="I179" t="inlineStr">
        <is>
          <t>E-1039</t>
        </is>
      </c>
      <c r="J179" t="inlineStr">
        <is>
          <t>Annual licence</t>
        </is>
      </c>
    </row>
    <row r="180">
      <c r="A180" t="inlineStr">
        <is>
          <t>TX-31253</t>
        </is>
      </c>
      <c r="B180" s="11" t="n">
        <v>46274</v>
      </c>
      <c r="C180" t="inlineStr">
        <is>
          <t>E-1011</t>
        </is>
      </c>
      <c r="D180" t="inlineStr">
        <is>
          <t>Engineering</t>
        </is>
      </c>
      <c r="E180" t="inlineStr">
        <is>
          <t>V-1124</t>
        </is>
      </c>
      <c r="F180" t="inlineStr">
        <is>
          <t>Facilities</t>
        </is>
      </c>
      <c r="G180" s="12" t="n">
        <v>331.44</v>
      </c>
      <c r="H180" t="inlineStr"/>
      <c r="I180" t="inlineStr">
        <is>
          <t>E-1040</t>
        </is>
      </c>
      <c r="J180" t="inlineStr">
        <is>
          <t>Ad hoc</t>
        </is>
      </c>
    </row>
    <row r="181">
      <c r="A181" t="inlineStr">
        <is>
          <t>TX-31260</t>
        </is>
      </c>
      <c r="B181" s="11" t="n">
        <v>46275</v>
      </c>
      <c r="C181" t="inlineStr">
        <is>
          <t>E-1030</t>
        </is>
      </c>
      <c r="D181" t="inlineStr">
        <is>
          <t>Marketing</t>
        </is>
      </c>
      <c r="E181" t="inlineStr">
        <is>
          <t>V-1134</t>
        </is>
      </c>
      <c r="F181" t="inlineStr">
        <is>
          <t>Shipping</t>
        </is>
      </c>
      <c r="G181" s="12" t="n">
        <v>131.85</v>
      </c>
      <c r="H181" t="inlineStr"/>
      <c r="I181" t="inlineStr">
        <is>
          <t>E-1040</t>
        </is>
      </c>
      <c r="J181" t="inlineStr">
        <is>
          <t>Client meeting</t>
        </is>
      </c>
    </row>
    <row r="182">
      <c r="A182" t="inlineStr">
        <is>
          <t>TX-31267</t>
        </is>
      </c>
      <c r="B182" s="11" t="n">
        <v>46275</v>
      </c>
      <c r="C182" t="inlineStr">
        <is>
          <t>E-1033</t>
        </is>
      </c>
      <c r="D182" t="inlineStr">
        <is>
          <t>Facilities</t>
        </is>
      </c>
      <c r="E182" t="inlineStr">
        <is>
          <t>V-1106</t>
        </is>
      </c>
      <c r="F182" t="inlineStr">
        <is>
          <t>Software &amp; hosting</t>
        </is>
      </c>
      <c r="G182" s="12" t="n">
        <v>313.48</v>
      </c>
      <c r="H182" t="inlineStr"/>
      <c r="I182" t="inlineStr">
        <is>
          <t>E-1039</t>
        </is>
      </c>
      <c r="J182" t="inlineStr"/>
    </row>
    <row r="183">
      <c r="A183" t="inlineStr">
        <is>
          <t>TX-31274</t>
        </is>
      </c>
      <c r="B183" s="11" t="n">
        <v>46276</v>
      </c>
      <c r="C183" t="inlineStr">
        <is>
          <t>E-1012</t>
        </is>
      </c>
      <c r="D183" t="inlineStr">
        <is>
          <t>Sales</t>
        </is>
      </c>
      <c r="E183" t="inlineStr">
        <is>
          <t>V-1121</t>
        </is>
      </c>
      <c r="F183" t="inlineStr">
        <is>
          <t>Software &amp; hosting</t>
        </is>
      </c>
      <c r="G183" s="12" t="n">
        <v>2516.24</v>
      </c>
      <c r="H183" t="inlineStr">
        <is>
          <t>PO-88030</t>
        </is>
      </c>
      <c r="I183" t="inlineStr">
        <is>
          <t>E-1040</t>
        </is>
      </c>
      <c r="J183" t="inlineStr">
        <is>
          <t>Annual licence</t>
        </is>
      </c>
    </row>
    <row r="184">
      <c r="A184" t="inlineStr">
        <is>
          <t>TX-31281</t>
        </is>
      </c>
      <c r="B184" s="11" t="n">
        <v>46276</v>
      </c>
      <c r="C184" t="inlineStr">
        <is>
          <t>E-1026</t>
        </is>
      </c>
      <c r="D184" t="inlineStr">
        <is>
          <t>Sales</t>
        </is>
      </c>
      <c r="E184" t="inlineStr">
        <is>
          <t>V-1170</t>
        </is>
      </c>
      <c r="F184" t="inlineStr">
        <is>
          <t>Marketing</t>
        </is>
      </c>
      <c r="G184" s="12" t="n">
        <v>118.12</v>
      </c>
      <c r="H184" t="inlineStr"/>
      <c r="I184" t="inlineStr">
        <is>
          <t>E-1009</t>
        </is>
      </c>
      <c r="J184" t="inlineStr">
        <is>
          <t>Replacement</t>
        </is>
      </c>
    </row>
    <row r="185">
      <c r="A185" t="inlineStr">
        <is>
          <t>TX-31288</t>
        </is>
      </c>
      <c r="B185" s="11" t="n">
        <v>46276</v>
      </c>
      <c r="C185" t="inlineStr">
        <is>
          <t>E-1009</t>
        </is>
      </c>
      <c r="D185" t="inlineStr">
        <is>
          <t>Facilities</t>
        </is>
      </c>
      <c r="E185" t="inlineStr">
        <is>
          <t>V-1109</t>
        </is>
      </c>
      <c r="F185" t="inlineStr">
        <is>
          <t>Shipping</t>
        </is>
      </c>
      <c r="G185" s="12" t="n">
        <v>243.03</v>
      </c>
      <c r="H185" t="inlineStr"/>
      <c r="I185" t="inlineStr">
        <is>
          <t>E-1019</t>
        </is>
      </c>
      <c r="J185" t="inlineStr">
        <is>
          <t>Client meeting</t>
        </is>
      </c>
    </row>
    <row r="186">
      <c r="A186" t="inlineStr">
        <is>
          <t>TX-31295</t>
        </is>
      </c>
      <c r="B186" s="11" t="n">
        <v>46276</v>
      </c>
      <c r="C186" t="inlineStr">
        <is>
          <t>E-1002</t>
        </is>
      </c>
      <c r="D186" t="inlineStr">
        <is>
          <t>Operations</t>
        </is>
      </c>
      <c r="E186" t="inlineStr">
        <is>
          <t>V-1124</t>
        </is>
      </c>
      <c r="F186" t="inlineStr">
        <is>
          <t>Facilities</t>
        </is>
      </c>
      <c r="G186" s="12" t="n">
        <v>1325.58</v>
      </c>
      <c r="H186" t="inlineStr">
        <is>
          <t>PO-88192</t>
        </is>
      </c>
      <c r="I186" t="inlineStr">
        <is>
          <t>E-1022</t>
        </is>
      </c>
      <c r="J186" t="inlineStr">
        <is>
          <t>Monthly invoice</t>
        </is>
      </c>
    </row>
    <row r="187">
      <c r="A187" t="inlineStr">
        <is>
          <t>TX-31302</t>
        </is>
      </c>
      <c r="B187" s="11" t="n">
        <v>46276</v>
      </c>
      <c r="C187" t="inlineStr">
        <is>
          <t>E-1011</t>
        </is>
      </c>
      <c r="D187" t="inlineStr">
        <is>
          <t>Engineering</t>
        </is>
      </c>
      <c r="E187" t="inlineStr">
        <is>
          <t>V-1185</t>
        </is>
      </c>
      <c r="F187" t="inlineStr">
        <is>
          <t>Facilities</t>
        </is>
      </c>
      <c r="G187" s="12" t="n">
        <v>110.19</v>
      </c>
      <c r="H187" t="inlineStr"/>
      <c r="I187" t="inlineStr">
        <is>
          <t>E-1040</t>
        </is>
      </c>
      <c r="J187" t="inlineStr">
        <is>
          <t>Replacement</t>
        </is>
      </c>
    </row>
    <row r="188">
      <c r="A188" t="inlineStr">
        <is>
          <t>TX-31309</t>
        </is>
      </c>
      <c r="B188" s="11" t="n">
        <v>46276</v>
      </c>
      <c r="C188" t="inlineStr">
        <is>
          <t>E-1019</t>
        </is>
      </c>
      <c r="D188" t="inlineStr">
        <is>
          <t>Engineering</t>
        </is>
      </c>
      <c r="E188" t="inlineStr">
        <is>
          <t>V-1102</t>
        </is>
      </c>
      <c r="F188" t="inlineStr">
        <is>
          <t>Office supplies</t>
        </is>
      </c>
      <c r="G188" s="12" t="n">
        <v>1452.39</v>
      </c>
      <c r="H188" t="inlineStr">
        <is>
          <t>PO-88276</t>
        </is>
      </c>
      <c r="I188" t="inlineStr">
        <is>
          <t>E-1035</t>
        </is>
      </c>
      <c r="J188" t="inlineStr"/>
    </row>
    <row r="189">
      <c r="A189" t="inlineStr">
        <is>
          <t>TX-31316</t>
        </is>
      </c>
      <c r="B189" s="11" t="n">
        <v>46276</v>
      </c>
      <c r="C189" t="inlineStr">
        <is>
          <t>E-1005</t>
        </is>
      </c>
      <c r="D189" t="inlineStr">
        <is>
          <t>Sales</t>
        </is>
      </c>
      <c r="E189" t="inlineStr">
        <is>
          <t>V-1102</t>
        </is>
      </c>
      <c r="F189" t="inlineStr">
        <is>
          <t>Office supplies</t>
        </is>
      </c>
      <c r="G189" s="12" t="n">
        <v>176.16</v>
      </c>
      <c r="H189" t="inlineStr"/>
      <c r="I189" t="inlineStr">
        <is>
          <t>E-1022</t>
        </is>
      </c>
      <c r="J189" t="inlineStr"/>
    </row>
    <row r="190">
      <c r="A190" t="inlineStr">
        <is>
          <t>TX-31323</t>
        </is>
      </c>
      <c r="B190" s="11" t="n">
        <v>46279</v>
      </c>
      <c r="C190" t="inlineStr">
        <is>
          <t>E-1017</t>
        </is>
      </c>
      <c r="D190" t="inlineStr">
        <is>
          <t>Sales</t>
        </is>
      </c>
      <c r="E190" t="inlineStr">
        <is>
          <t>V-1170</t>
        </is>
      </c>
      <c r="F190" t="inlineStr">
        <is>
          <t>Marketing</t>
        </is>
      </c>
      <c r="G190" s="12" t="n">
        <v>265.58</v>
      </c>
      <c r="H190" t="inlineStr"/>
      <c r="I190" t="inlineStr">
        <is>
          <t>E-1039</t>
        </is>
      </c>
      <c r="J190" t="inlineStr">
        <is>
          <t>Annual licence</t>
        </is>
      </c>
    </row>
    <row r="191">
      <c r="A191" t="inlineStr">
        <is>
          <t>TX-31330</t>
        </is>
      </c>
      <c r="B191" s="11" t="n">
        <v>46279</v>
      </c>
      <c r="C191" t="inlineStr">
        <is>
          <t>E-1030</t>
        </is>
      </c>
      <c r="D191" t="inlineStr">
        <is>
          <t>Marketing</t>
        </is>
      </c>
      <c r="E191" t="inlineStr">
        <is>
          <t>V-1121</t>
        </is>
      </c>
      <c r="F191" t="inlineStr">
        <is>
          <t>Software &amp; hosting</t>
        </is>
      </c>
      <c r="G191" s="12" t="n">
        <v>60.64</v>
      </c>
      <c r="H191" t="inlineStr"/>
      <c r="I191" t="inlineStr">
        <is>
          <t>E-1012</t>
        </is>
      </c>
      <c r="J191" t="inlineStr">
        <is>
          <t>Replacement</t>
        </is>
      </c>
    </row>
    <row r="192">
      <c r="A192" t="inlineStr">
        <is>
          <t>TX-31337</t>
        </is>
      </c>
      <c r="B192" s="11" t="n">
        <v>46279</v>
      </c>
      <c r="C192" t="inlineStr">
        <is>
          <t>E-1021</t>
        </is>
      </c>
      <c r="D192" t="inlineStr">
        <is>
          <t>Engineering</t>
        </is>
      </c>
      <c r="E192" t="inlineStr">
        <is>
          <t>V-1102</t>
        </is>
      </c>
      <c r="F192" t="inlineStr">
        <is>
          <t>Office supplies</t>
        </is>
      </c>
      <c r="G192" s="12" t="n">
        <v>118.94</v>
      </c>
      <c r="H192" t="inlineStr"/>
      <c r="I192" t="inlineStr">
        <is>
          <t>E-1017</t>
        </is>
      </c>
      <c r="J192" t="inlineStr">
        <is>
          <t>Replacement</t>
        </is>
      </c>
    </row>
    <row r="193">
      <c r="A193" t="inlineStr">
        <is>
          <t>TX-31344</t>
        </is>
      </c>
      <c r="B193" s="11" t="n">
        <v>46279</v>
      </c>
      <c r="C193" t="inlineStr">
        <is>
          <t>E-1030</t>
        </is>
      </c>
      <c r="D193" t="inlineStr">
        <is>
          <t>Marketing</t>
        </is>
      </c>
      <c r="E193" t="inlineStr">
        <is>
          <t>V-1187</t>
        </is>
      </c>
      <c r="F193" t="inlineStr">
        <is>
          <t>Consulting</t>
        </is>
      </c>
      <c r="G193" s="12" t="n">
        <v>4995</v>
      </c>
      <c r="H193" t="inlineStr"/>
      <c r="I193" t="inlineStr">
        <is>
          <t>E-1033</t>
        </is>
      </c>
      <c r="J193" t="inlineStr">
        <is>
          <t>Workshop facilitation</t>
        </is>
      </c>
    </row>
    <row r="194">
      <c r="A194" t="inlineStr">
        <is>
          <t>TX-31351</t>
        </is>
      </c>
      <c r="B194" s="11" t="n">
        <v>46280</v>
      </c>
      <c r="C194" t="inlineStr">
        <is>
          <t>E-1011</t>
        </is>
      </c>
      <c r="D194" t="inlineStr">
        <is>
          <t>Engineering</t>
        </is>
      </c>
      <c r="E194" t="inlineStr">
        <is>
          <t>V-1102</t>
        </is>
      </c>
      <c r="F194" t="inlineStr">
        <is>
          <t>Office supplies</t>
        </is>
      </c>
      <c r="G194" s="12" t="n">
        <v>392.66</v>
      </c>
      <c r="H194" t="inlineStr"/>
      <c r="I194" t="inlineStr">
        <is>
          <t>E-1012</t>
        </is>
      </c>
      <c r="J194" t="inlineStr">
        <is>
          <t>Replacement</t>
        </is>
      </c>
    </row>
    <row r="195">
      <c r="A195" t="inlineStr">
        <is>
          <t>TX-31358</t>
        </is>
      </c>
      <c r="B195" s="11" t="n">
        <v>46280</v>
      </c>
      <c r="C195" t="inlineStr">
        <is>
          <t>E-1023</t>
        </is>
      </c>
      <c r="D195" t="inlineStr">
        <is>
          <t>Sales</t>
        </is>
      </c>
      <c r="E195" t="inlineStr">
        <is>
          <t>V-1114</t>
        </is>
      </c>
      <c r="F195" t="inlineStr">
        <is>
          <t>Travel</t>
        </is>
      </c>
      <c r="G195" s="12" t="n">
        <v>8581.950000000001</v>
      </c>
      <c r="H195" t="inlineStr">
        <is>
          <t>PO-88200</t>
        </is>
      </c>
      <c r="I195" t="inlineStr">
        <is>
          <t>E-1000</t>
        </is>
      </c>
      <c r="J195" t="inlineStr">
        <is>
          <t>Team offsite</t>
        </is>
      </c>
    </row>
    <row r="196">
      <c r="A196" t="inlineStr">
        <is>
          <t>TX-31365</t>
        </is>
      </c>
      <c r="B196" s="11" t="n">
        <v>46280</v>
      </c>
      <c r="C196" t="inlineStr">
        <is>
          <t>E-1020</t>
        </is>
      </c>
      <c r="D196" t="inlineStr">
        <is>
          <t>Facilities</t>
        </is>
      </c>
      <c r="E196" t="inlineStr">
        <is>
          <t>V-1178</t>
        </is>
      </c>
      <c r="F196" t="inlineStr">
        <is>
          <t>Utilities</t>
        </is>
      </c>
      <c r="G196" s="12" t="n">
        <v>340.91</v>
      </c>
      <c r="H196" t="inlineStr"/>
      <c r="I196" t="inlineStr">
        <is>
          <t>E-1022</t>
        </is>
      </c>
      <c r="J196" t="inlineStr">
        <is>
          <t>Replacement</t>
        </is>
      </c>
    </row>
    <row r="197">
      <c r="A197" t="inlineStr">
        <is>
          <t>TX-31372</t>
        </is>
      </c>
      <c r="B197" s="11" t="n">
        <v>46281</v>
      </c>
      <c r="C197" t="inlineStr">
        <is>
          <t>E-1003</t>
        </is>
      </c>
      <c r="D197" t="inlineStr">
        <is>
          <t>People</t>
        </is>
      </c>
      <c r="E197" t="inlineStr">
        <is>
          <t>V-1139</t>
        </is>
      </c>
      <c r="F197" t="inlineStr">
        <is>
          <t>Meals &amp; entertainment</t>
        </is>
      </c>
      <c r="G197" s="12" t="n">
        <v>2718.15</v>
      </c>
      <c r="H197" t="inlineStr">
        <is>
          <t>PO-88137</t>
        </is>
      </c>
      <c r="I197" t="inlineStr">
        <is>
          <t>E-1022</t>
        </is>
      </c>
      <c r="J197" t="inlineStr">
        <is>
          <t>Q3 renewal</t>
        </is>
      </c>
    </row>
    <row r="198">
      <c r="A198" t="inlineStr">
        <is>
          <t>TX-31379</t>
        </is>
      </c>
      <c r="B198" s="11" t="n">
        <v>46281</v>
      </c>
      <c r="C198" t="inlineStr">
        <is>
          <t>E-1012</t>
        </is>
      </c>
      <c r="D198" t="inlineStr">
        <is>
          <t>Sales</t>
        </is>
      </c>
      <c r="E198" t="inlineStr">
        <is>
          <t>V-1124</t>
        </is>
      </c>
      <c r="F198" t="inlineStr">
        <is>
          <t>Facilities</t>
        </is>
      </c>
      <c r="G198" s="12" t="n">
        <v>184.4</v>
      </c>
      <c r="H198" t="inlineStr"/>
      <c r="I198" t="inlineStr">
        <is>
          <t>E-1019</t>
        </is>
      </c>
      <c r="J198" t="inlineStr">
        <is>
          <t>Ad hoc</t>
        </is>
      </c>
    </row>
    <row r="199">
      <c r="A199" t="inlineStr">
        <is>
          <t>TX-31386</t>
        </is>
      </c>
      <c r="B199" s="11" t="n">
        <v>46281</v>
      </c>
      <c r="C199" t="inlineStr">
        <is>
          <t>E-1019</t>
        </is>
      </c>
      <c r="D199" t="inlineStr">
        <is>
          <t>Engineering</t>
        </is>
      </c>
      <c r="E199" t="inlineStr">
        <is>
          <t>V-1102</t>
        </is>
      </c>
      <c r="F199" t="inlineStr">
        <is>
          <t>Office supplies</t>
        </is>
      </c>
      <c r="G199" s="12" t="n">
        <v>709.95</v>
      </c>
      <c r="H199" t="inlineStr"/>
      <c r="I199" t="inlineStr">
        <is>
          <t>E-1017</t>
        </is>
      </c>
      <c r="J199" t="inlineStr">
        <is>
          <t>Team offsite</t>
        </is>
      </c>
    </row>
    <row r="200">
      <c r="A200" t="inlineStr">
        <is>
          <t>TX-31393</t>
        </is>
      </c>
      <c r="B200" s="11" t="n">
        <v>46281</v>
      </c>
      <c r="C200" t="inlineStr">
        <is>
          <t>E-1018</t>
        </is>
      </c>
      <c r="D200" t="inlineStr">
        <is>
          <t>Operations</t>
        </is>
      </c>
      <c r="E200" t="inlineStr">
        <is>
          <t>V-1148</t>
        </is>
      </c>
      <c r="F200" t="inlineStr">
        <is>
          <t>Events</t>
        </is>
      </c>
      <c r="G200" s="12" t="n">
        <v>287.09</v>
      </c>
      <c r="H200" t="inlineStr"/>
      <c r="I200" t="inlineStr">
        <is>
          <t>E-1012</t>
        </is>
      </c>
      <c r="J200" t="inlineStr">
        <is>
          <t>Annual licence</t>
        </is>
      </c>
    </row>
    <row r="201">
      <c r="A201" t="inlineStr">
        <is>
          <t>TX-31400</t>
        </is>
      </c>
      <c r="B201" s="11" t="n">
        <v>46282</v>
      </c>
      <c r="C201" t="inlineStr">
        <is>
          <t>E-1029</t>
        </is>
      </c>
      <c r="D201" t="inlineStr">
        <is>
          <t>Sales</t>
        </is>
      </c>
      <c r="E201" t="inlineStr">
        <is>
          <t>V-1102</t>
        </is>
      </c>
      <c r="F201" t="inlineStr">
        <is>
          <t>Office supplies</t>
        </is>
      </c>
      <c r="G201" s="12" t="n">
        <v>3058.1</v>
      </c>
      <c r="H201" t="inlineStr">
        <is>
          <t>PO-88121</t>
        </is>
      </c>
      <c r="I201" t="inlineStr">
        <is>
          <t>E-1032</t>
        </is>
      </c>
      <c r="J201" t="inlineStr"/>
    </row>
    <row r="202">
      <c r="A202" t="inlineStr">
        <is>
          <t>TX-31407</t>
        </is>
      </c>
      <c r="B202" s="11" t="n">
        <v>46282</v>
      </c>
      <c r="C202" t="inlineStr">
        <is>
          <t>E-1012</t>
        </is>
      </c>
      <c r="D202" t="inlineStr">
        <is>
          <t>Sales</t>
        </is>
      </c>
      <c r="E202" t="inlineStr">
        <is>
          <t>V-1178</t>
        </is>
      </c>
      <c r="F202" t="inlineStr">
        <is>
          <t>Utilities</t>
        </is>
      </c>
      <c r="G202" s="12" t="n">
        <v>163.74</v>
      </c>
      <c r="H202" t="inlineStr"/>
      <c r="I202" t="inlineStr">
        <is>
          <t>E-1019</t>
        </is>
      </c>
      <c r="J202" t="inlineStr">
        <is>
          <t>Annual licence</t>
        </is>
      </c>
    </row>
    <row r="203">
      <c r="A203" t="inlineStr">
        <is>
          <t>TX-31414</t>
        </is>
      </c>
      <c r="B203" s="11" t="n">
        <v>46282</v>
      </c>
      <c r="C203" t="inlineStr">
        <is>
          <t>E-1017</t>
        </is>
      </c>
      <c r="D203" t="inlineStr">
        <is>
          <t>Sales</t>
        </is>
      </c>
      <c r="E203" t="inlineStr">
        <is>
          <t>V-1154</t>
        </is>
      </c>
      <c r="F203" t="inlineStr">
        <is>
          <t>Travel</t>
        </is>
      </c>
      <c r="G203" s="12" t="n">
        <v>420.39</v>
      </c>
      <c r="H203" t="inlineStr"/>
      <c r="I203" t="inlineStr">
        <is>
          <t>E-1039</t>
        </is>
      </c>
      <c r="J203" t="inlineStr">
        <is>
          <t>Q3 renewal</t>
        </is>
      </c>
    </row>
    <row r="204">
      <c r="A204" t="inlineStr">
        <is>
          <t>TX-31421</t>
        </is>
      </c>
      <c r="B204" s="11" t="n">
        <v>46282</v>
      </c>
      <c r="C204" t="inlineStr">
        <is>
          <t>E-1005</t>
        </is>
      </c>
      <c r="D204" t="inlineStr">
        <is>
          <t>Sales</t>
        </is>
      </c>
      <c r="E204" t="inlineStr">
        <is>
          <t>V-1106</t>
        </is>
      </c>
      <c r="F204" t="inlineStr">
        <is>
          <t>Software &amp; hosting</t>
        </is>
      </c>
      <c r="G204" s="12" t="n">
        <v>263.47</v>
      </c>
      <c r="H204" t="inlineStr"/>
      <c r="I204" t="inlineStr">
        <is>
          <t>E-1033</t>
        </is>
      </c>
      <c r="J204" t="inlineStr">
        <is>
          <t>Q3 renewal</t>
        </is>
      </c>
    </row>
    <row r="205">
      <c r="A205" t="inlineStr">
        <is>
          <t>TX-31428</t>
        </is>
      </c>
      <c r="B205" s="11" t="n">
        <v>46282</v>
      </c>
      <c r="C205" t="inlineStr">
        <is>
          <t>E-1032</t>
        </is>
      </c>
      <c r="D205" t="inlineStr">
        <is>
          <t>Sales</t>
        </is>
      </c>
      <c r="E205" t="inlineStr">
        <is>
          <t>V-1102</t>
        </is>
      </c>
      <c r="F205" t="inlineStr">
        <is>
          <t>Office supplies</t>
        </is>
      </c>
      <c r="G205" s="12" t="n">
        <v>19.75</v>
      </c>
      <c r="H205" t="inlineStr"/>
      <c r="I205" t="inlineStr">
        <is>
          <t>E-1012</t>
        </is>
      </c>
      <c r="J205" t="inlineStr"/>
    </row>
    <row r="206">
      <c r="A206" t="inlineStr">
        <is>
          <t>TX-31435</t>
        </is>
      </c>
      <c r="B206" s="11" t="n">
        <v>46283</v>
      </c>
      <c r="C206" t="inlineStr">
        <is>
          <t>E-1025</t>
        </is>
      </c>
      <c r="D206" t="inlineStr">
        <is>
          <t>People</t>
        </is>
      </c>
      <c r="E206" t="inlineStr">
        <is>
          <t>V-1106</t>
        </is>
      </c>
      <c r="F206" t="inlineStr">
        <is>
          <t>Software &amp; hosting</t>
        </is>
      </c>
      <c r="G206" s="12" t="n">
        <v>449.56</v>
      </c>
      <c r="H206" t="inlineStr"/>
      <c r="I206" t="inlineStr">
        <is>
          <t>E-1012</t>
        </is>
      </c>
      <c r="J206" t="inlineStr"/>
    </row>
    <row r="207">
      <c r="A207" t="inlineStr">
        <is>
          <t>TX-31442</t>
        </is>
      </c>
      <c r="B207" s="11" t="n">
        <v>46286</v>
      </c>
      <c r="C207" t="inlineStr">
        <is>
          <t>E-1010</t>
        </is>
      </c>
      <c r="D207" t="inlineStr">
        <is>
          <t>Operations</t>
        </is>
      </c>
      <c r="E207" t="inlineStr">
        <is>
          <t>V-1143</t>
        </is>
      </c>
      <c r="F207" t="inlineStr">
        <is>
          <t>Marketing</t>
        </is>
      </c>
      <c r="G207" s="12" t="n">
        <v>788.9</v>
      </c>
      <c r="H207" t="inlineStr"/>
      <c r="I207" t="inlineStr">
        <is>
          <t>E-1022</t>
        </is>
      </c>
      <c r="J207" t="inlineStr">
        <is>
          <t>Replacement</t>
        </is>
      </c>
    </row>
    <row r="208">
      <c r="A208" t="inlineStr">
        <is>
          <t>TX-31449</t>
        </is>
      </c>
      <c r="B208" s="11" t="n">
        <v>46286</v>
      </c>
      <c r="C208" t="inlineStr">
        <is>
          <t>E-1035</t>
        </is>
      </c>
      <c r="D208" t="inlineStr">
        <is>
          <t>Facilities</t>
        </is>
      </c>
      <c r="E208" t="inlineStr">
        <is>
          <t>V-1121</t>
        </is>
      </c>
      <c r="F208" t="inlineStr">
        <is>
          <t>Software &amp; hosting</t>
        </is>
      </c>
      <c r="G208" s="12" t="n">
        <v>10601.25</v>
      </c>
      <c r="H208" t="inlineStr">
        <is>
          <t>PO-88037</t>
        </is>
      </c>
      <c r="I208" t="inlineStr">
        <is>
          <t>E-1000</t>
        </is>
      </c>
      <c r="J208" t="inlineStr">
        <is>
          <t>Monthly invoice</t>
        </is>
      </c>
    </row>
    <row r="209">
      <c r="A209" t="inlineStr">
        <is>
          <t>TX-31456</t>
        </is>
      </c>
      <c r="B209" s="11" t="n">
        <v>46286</v>
      </c>
      <c r="C209" t="inlineStr">
        <is>
          <t>E-1002</t>
        </is>
      </c>
      <c r="D209" t="inlineStr">
        <is>
          <t>Operations</t>
        </is>
      </c>
      <c r="E209" t="inlineStr">
        <is>
          <t>V-1102</t>
        </is>
      </c>
      <c r="F209" t="inlineStr">
        <is>
          <t>Office supplies</t>
        </is>
      </c>
      <c r="G209" s="12" t="n">
        <v>334.48</v>
      </c>
      <c r="H209" t="inlineStr"/>
      <c r="I209" t="inlineStr">
        <is>
          <t>E-1040</t>
        </is>
      </c>
      <c r="J209" t="inlineStr"/>
    </row>
    <row r="210">
      <c r="A210" t="inlineStr">
        <is>
          <t>TX-31463</t>
        </is>
      </c>
      <c r="B210" s="11" t="n">
        <v>46286</v>
      </c>
      <c r="C210" t="inlineStr">
        <is>
          <t>E-1017</t>
        </is>
      </c>
      <c r="D210" t="inlineStr">
        <is>
          <t>Sales</t>
        </is>
      </c>
      <c r="E210" t="inlineStr">
        <is>
          <t>V-1154</t>
        </is>
      </c>
      <c r="F210" t="inlineStr">
        <is>
          <t>Travel</t>
        </is>
      </c>
      <c r="G210" s="12" t="n">
        <v>279</v>
      </c>
      <c r="H210" t="inlineStr"/>
      <c r="I210" t="inlineStr">
        <is>
          <t>E-1037</t>
        </is>
      </c>
      <c r="J210" t="inlineStr">
        <is>
          <t>Client meeting</t>
        </is>
      </c>
    </row>
    <row r="211">
      <c r="A211" t="inlineStr">
        <is>
          <t>TX-31470</t>
        </is>
      </c>
      <c r="B211" s="11" t="n">
        <v>46286</v>
      </c>
      <c r="C211" t="inlineStr">
        <is>
          <t>E-1006</t>
        </is>
      </c>
      <c r="D211" t="inlineStr">
        <is>
          <t>People</t>
        </is>
      </c>
      <c r="E211" t="inlineStr">
        <is>
          <t>V-1170</t>
        </is>
      </c>
      <c r="F211" t="inlineStr">
        <is>
          <t>Marketing</t>
        </is>
      </c>
      <c r="G211" s="12" t="n">
        <v>2484.13</v>
      </c>
      <c r="H211" t="inlineStr">
        <is>
          <t>PO-88208</t>
        </is>
      </c>
      <c r="I211" t="inlineStr">
        <is>
          <t>E-1017</t>
        </is>
      </c>
      <c r="J211" t="inlineStr">
        <is>
          <t>Q3 renewal</t>
        </is>
      </c>
    </row>
    <row r="212">
      <c r="A212" t="inlineStr">
        <is>
          <t>TX-31477</t>
        </is>
      </c>
      <c r="B212" s="11" t="n">
        <v>46286</v>
      </c>
      <c r="C212" t="inlineStr">
        <is>
          <t>E-1015</t>
        </is>
      </c>
      <c r="D212" t="inlineStr">
        <is>
          <t>People</t>
        </is>
      </c>
      <c r="E212" t="inlineStr">
        <is>
          <t>V-1128</t>
        </is>
      </c>
      <c r="F212" t="inlineStr">
        <is>
          <t>Training</t>
        </is>
      </c>
      <c r="G212" s="12" t="n">
        <v>13164.79</v>
      </c>
      <c r="H212" t="inlineStr">
        <is>
          <t>PO-88216</t>
        </is>
      </c>
      <c r="I212" t="inlineStr">
        <is>
          <t>E-1000</t>
        </is>
      </c>
      <c r="J212" t="inlineStr"/>
    </row>
    <row r="213">
      <c r="A213" t="inlineStr">
        <is>
          <t>TX-31484</t>
        </is>
      </c>
      <c r="B213" s="11" t="n">
        <v>46286</v>
      </c>
      <c r="C213" t="inlineStr">
        <is>
          <t>E-1037</t>
        </is>
      </c>
      <c r="D213" t="inlineStr">
        <is>
          <t>Marketing</t>
        </is>
      </c>
      <c r="E213" t="inlineStr">
        <is>
          <t>V-1121</t>
        </is>
      </c>
      <c r="F213" t="inlineStr">
        <is>
          <t>Software &amp; hosting</t>
        </is>
      </c>
      <c r="G213" s="12" t="n">
        <v>15135.61</v>
      </c>
      <c r="H213" t="inlineStr">
        <is>
          <t>PO-88234</t>
        </is>
      </c>
      <c r="I213" t="inlineStr">
        <is>
          <t>E-1000</t>
        </is>
      </c>
      <c r="J213" t="inlineStr">
        <is>
          <t>Ad hoc</t>
        </is>
      </c>
    </row>
    <row r="214">
      <c r="A214" t="inlineStr">
        <is>
          <t>TX-31491</t>
        </is>
      </c>
      <c r="B214" s="11" t="n">
        <v>46286</v>
      </c>
      <c r="C214" t="inlineStr">
        <is>
          <t>E-1020</t>
        </is>
      </c>
      <c r="D214" t="inlineStr">
        <is>
          <t>Facilities</t>
        </is>
      </c>
      <c r="E214" t="inlineStr">
        <is>
          <t>V-1178</t>
        </is>
      </c>
      <c r="F214" t="inlineStr">
        <is>
          <t>Utilities</t>
        </is>
      </c>
      <c r="G214" s="12" t="n">
        <v>573.28</v>
      </c>
      <c r="H214" t="inlineStr"/>
      <c r="I214" t="inlineStr">
        <is>
          <t>E-1019</t>
        </is>
      </c>
      <c r="J214" t="inlineStr">
        <is>
          <t>Q3 renewal</t>
        </is>
      </c>
    </row>
    <row r="215">
      <c r="A215" t="inlineStr">
        <is>
          <t>TX-31498</t>
        </is>
      </c>
      <c r="B215" s="11" t="n">
        <v>46287</v>
      </c>
      <c r="C215" t="inlineStr">
        <is>
          <t>E-1032</t>
        </is>
      </c>
      <c r="D215" t="inlineStr">
        <is>
          <t>Sales</t>
        </is>
      </c>
      <c r="E215" t="inlineStr">
        <is>
          <t>V-1102</t>
        </is>
      </c>
      <c r="F215" t="inlineStr">
        <is>
          <t>Office supplies</t>
        </is>
      </c>
      <c r="G215" s="12" t="n">
        <v>10124.43</v>
      </c>
      <c r="H215" t="inlineStr">
        <is>
          <t>PO-88094</t>
        </is>
      </c>
      <c r="I215" t="inlineStr">
        <is>
          <t>E-1000</t>
        </is>
      </c>
      <c r="J215" t="inlineStr">
        <is>
          <t>Q3 renewal</t>
        </is>
      </c>
    </row>
    <row r="216">
      <c r="A216" t="inlineStr">
        <is>
          <t>TX-31505</t>
        </is>
      </c>
      <c r="B216" s="11" t="n">
        <v>46287</v>
      </c>
      <c r="C216" t="inlineStr">
        <is>
          <t>E-1003</t>
        </is>
      </c>
      <c r="D216" t="inlineStr">
        <is>
          <t>People</t>
        </is>
      </c>
      <c r="E216" t="inlineStr">
        <is>
          <t>V-1170</t>
        </is>
      </c>
      <c r="F216" t="inlineStr">
        <is>
          <t>Marketing</t>
        </is>
      </c>
      <c r="G216" s="12" t="n">
        <v>398.61</v>
      </c>
      <c r="H216" t="inlineStr"/>
      <c r="I216" t="inlineStr">
        <is>
          <t>E-1040</t>
        </is>
      </c>
      <c r="J216" t="inlineStr">
        <is>
          <t>Ad hoc</t>
        </is>
      </c>
    </row>
    <row r="217">
      <c r="A217" t="inlineStr">
        <is>
          <t>TX-31512</t>
        </is>
      </c>
      <c r="B217" s="11" t="n">
        <v>46287</v>
      </c>
      <c r="C217" t="inlineStr">
        <is>
          <t>E-1017</t>
        </is>
      </c>
      <c r="D217" t="inlineStr">
        <is>
          <t>Sales</t>
        </is>
      </c>
      <c r="E217" t="inlineStr">
        <is>
          <t>V-1144</t>
        </is>
      </c>
      <c r="F217" t="inlineStr">
        <is>
          <t>Travel</t>
        </is>
      </c>
      <c r="G217" s="12" t="n">
        <v>477.56</v>
      </c>
      <c r="H217" t="inlineStr"/>
      <c r="I217" t="inlineStr">
        <is>
          <t>E-1033</t>
        </is>
      </c>
      <c r="J217" t="inlineStr"/>
    </row>
    <row r="218">
      <c r="A218" t="inlineStr">
        <is>
          <t>TX-31519</t>
        </is>
      </c>
      <c r="B218" s="11" t="n">
        <v>46287</v>
      </c>
      <c r="C218" t="inlineStr">
        <is>
          <t>E-1013</t>
        </is>
      </c>
      <c r="D218" t="inlineStr">
        <is>
          <t>Sales</t>
        </is>
      </c>
      <c r="E218" t="inlineStr">
        <is>
          <t>V-1154</t>
        </is>
      </c>
      <c r="F218" t="inlineStr">
        <is>
          <t>Travel</t>
        </is>
      </c>
      <c r="G218" s="12" t="n">
        <v>11223.81</v>
      </c>
      <c r="H218" t="inlineStr">
        <is>
          <t>PO-88265</t>
        </is>
      </c>
      <c r="I218" t="inlineStr">
        <is>
          <t>E-1000</t>
        </is>
      </c>
      <c r="J218" t="inlineStr">
        <is>
          <t>Replacement</t>
        </is>
      </c>
    </row>
    <row r="219">
      <c r="A219" t="inlineStr">
        <is>
          <t>TX-31526</t>
        </is>
      </c>
      <c r="B219" s="11" t="n">
        <v>46287</v>
      </c>
      <c r="C219" t="inlineStr">
        <is>
          <t>E-1029</t>
        </is>
      </c>
      <c r="D219" t="inlineStr">
        <is>
          <t>Sales</t>
        </is>
      </c>
      <c r="E219" t="inlineStr">
        <is>
          <t>V-1183</t>
        </is>
      </c>
      <c r="F219" t="inlineStr">
        <is>
          <t>Consulting</t>
        </is>
      </c>
      <c r="G219" s="12" t="n">
        <v>29.3</v>
      </c>
      <c r="H219" t="inlineStr"/>
      <c r="I219" t="inlineStr">
        <is>
          <t>E-1040</t>
        </is>
      </c>
      <c r="J219" t="inlineStr"/>
    </row>
    <row r="220">
      <c r="A220" t="inlineStr">
        <is>
          <t>TX-31533</t>
        </is>
      </c>
      <c r="B220" s="11" t="n">
        <v>46287</v>
      </c>
      <c r="C220" t="inlineStr">
        <is>
          <t>E-1039</t>
        </is>
      </c>
      <c r="D220" t="inlineStr">
        <is>
          <t>Operations</t>
        </is>
      </c>
      <c r="E220" t="inlineStr">
        <is>
          <t>V-1185</t>
        </is>
      </c>
      <c r="F220" t="inlineStr">
        <is>
          <t>Facilities</t>
        </is>
      </c>
      <c r="G220" s="12" t="n">
        <v>250.18</v>
      </c>
      <c r="H220" t="inlineStr"/>
      <c r="I220" t="inlineStr">
        <is>
          <t>E-1033</t>
        </is>
      </c>
      <c r="J220" t="inlineStr"/>
    </row>
    <row r="221">
      <c r="A221" t="inlineStr">
        <is>
          <t>TX-31540</t>
        </is>
      </c>
      <c r="B221" s="11" t="n">
        <v>46288</v>
      </c>
      <c r="C221" t="inlineStr">
        <is>
          <t>E-1020</t>
        </is>
      </c>
      <c r="D221" t="inlineStr">
        <is>
          <t>Facilities</t>
        </is>
      </c>
      <c r="E221" t="inlineStr">
        <is>
          <t>V-1159</t>
        </is>
      </c>
      <c r="F221" t="inlineStr">
        <is>
          <t>Consulting</t>
        </is>
      </c>
      <c r="G221" s="12" t="n">
        <v>335.96</v>
      </c>
      <c r="H221" t="inlineStr"/>
      <c r="I221" t="inlineStr">
        <is>
          <t>E-1032</t>
        </is>
      </c>
      <c r="J221" t="inlineStr">
        <is>
          <t>Client meeting</t>
        </is>
      </c>
    </row>
    <row r="222">
      <c r="A222" t="inlineStr">
        <is>
          <t>TX-31547</t>
        </is>
      </c>
      <c r="B222" s="11" t="n">
        <v>46288</v>
      </c>
      <c r="C222" t="inlineStr">
        <is>
          <t>E-1036</t>
        </is>
      </c>
      <c r="D222" t="inlineStr">
        <is>
          <t>Finance</t>
        </is>
      </c>
      <c r="E222" t="inlineStr">
        <is>
          <t>V-1124</t>
        </is>
      </c>
      <c r="F222" t="inlineStr">
        <is>
          <t>Facilities</t>
        </is>
      </c>
      <c r="G222" s="12" t="n">
        <v>64.42</v>
      </c>
      <c r="H222" t="inlineStr"/>
      <c r="I222" t="inlineStr">
        <is>
          <t>E-1022</t>
        </is>
      </c>
      <c r="J222" t="inlineStr">
        <is>
          <t>Monthly invoice</t>
        </is>
      </c>
    </row>
    <row r="223">
      <c r="A223" t="inlineStr">
        <is>
          <t>TX-31554</t>
        </is>
      </c>
      <c r="B223" s="11" t="n">
        <v>46288</v>
      </c>
      <c r="C223" t="inlineStr">
        <is>
          <t>E-1004</t>
        </is>
      </c>
      <c r="D223" t="inlineStr">
        <is>
          <t>Engineering</t>
        </is>
      </c>
      <c r="E223" t="inlineStr">
        <is>
          <t>V-1159</t>
        </is>
      </c>
      <c r="F223" t="inlineStr">
        <is>
          <t>Consulting</t>
        </is>
      </c>
      <c r="G223" s="12" t="n">
        <v>558.67</v>
      </c>
      <c r="H223" t="inlineStr"/>
      <c r="I223" t="inlineStr">
        <is>
          <t>E-1017</t>
        </is>
      </c>
      <c r="J223" t="inlineStr">
        <is>
          <t>Replacement</t>
        </is>
      </c>
    </row>
    <row r="224">
      <c r="A224" t="inlineStr">
        <is>
          <t>TX-31561</t>
        </is>
      </c>
      <c r="B224" s="11" t="n">
        <v>46289</v>
      </c>
      <c r="C224" t="inlineStr">
        <is>
          <t>E-1017</t>
        </is>
      </c>
      <c r="D224" t="inlineStr">
        <is>
          <t>Sales</t>
        </is>
      </c>
      <c r="E224" t="inlineStr">
        <is>
          <t>V-1143</t>
        </is>
      </c>
      <c r="F224" t="inlineStr">
        <is>
          <t>Marketing</t>
        </is>
      </c>
      <c r="G224" s="12" t="n">
        <v>226.62</v>
      </c>
      <c r="H224" t="inlineStr"/>
      <c r="I224" t="inlineStr">
        <is>
          <t>E-1009</t>
        </is>
      </c>
      <c r="J224" t="inlineStr">
        <is>
          <t>Monthly invoice</t>
        </is>
      </c>
    </row>
    <row r="225">
      <c r="A225" t="inlineStr">
        <is>
          <t>TX-31568</t>
        </is>
      </c>
      <c r="B225" s="11" t="n">
        <v>46289</v>
      </c>
      <c r="C225" t="inlineStr">
        <is>
          <t>E-1018</t>
        </is>
      </c>
      <c r="D225" t="inlineStr">
        <is>
          <t>Operations</t>
        </is>
      </c>
      <c r="E225" t="inlineStr">
        <is>
          <t>V-1117</t>
        </is>
      </c>
      <c r="F225" t="inlineStr">
        <is>
          <t>Meals &amp; entertainment</t>
        </is>
      </c>
      <c r="G225" s="12" t="n">
        <v>171.97</v>
      </c>
      <c r="H225" t="inlineStr"/>
      <c r="I225" t="inlineStr">
        <is>
          <t>E-1009</t>
        </is>
      </c>
      <c r="J225" t="inlineStr">
        <is>
          <t>Ad hoc</t>
        </is>
      </c>
    </row>
    <row r="226">
      <c r="A226" t="inlineStr">
        <is>
          <t>TX-31575</t>
        </is>
      </c>
      <c r="B226" s="11" t="n">
        <v>46289</v>
      </c>
      <c r="C226" t="inlineStr">
        <is>
          <t>E-1013</t>
        </is>
      </c>
      <c r="D226" t="inlineStr">
        <is>
          <t>Sales</t>
        </is>
      </c>
      <c r="E226" t="inlineStr">
        <is>
          <t>V-1159</t>
        </is>
      </c>
      <c r="F226" t="inlineStr">
        <is>
          <t>Consulting</t>
        </is>
      </c>
      <c r="G226" s="12" t="n">
        <v>2068.03</v>
      </c>
      <c r="H226" t="inlineStr">
        <is>
          <t>PO-88093</t>
        </is>
      </c>
      <c r="I226" t="inlineStr">
        <is>
          <t>E-1037</t>
        </is>
      </c>
      <c r="J226" t="inlineStr">
        <is>
          <t>Ad hoc</t>
        </is>
      </c>
    </row>
    <row r="227">
      <c r="A227" t="inlineStr">
        <is>
          <t>TX-31582</t>
        </is>
      </c>
      <c r="B227" s="11" t="n">
        <v>46289</v>
      </c>
      <c r="C227" t="inlineStr">
        <is>
          <t>E-1003</t>
        </is>
      </c>
      <c r="D227" t="inlineStr">
        <is>
          <t>People</t>
        </is>
      </c>
      <c r="E227" t="inlineStr">
        <is>
          <t>V-1183</t>
        </is>
      </c>
      <c r="F227" t="inlineStr">
        <is>
          <t>Consulting</t>
        </is>
      </c>
      <c r="G227" s="12" t="n">
        <v>16747.18</v>
      </c>
      <c r="H227" t="inlineStr">
        <is>
          <t>PO-88099</t>
        </is>
      </c>
      <c r="I227" t="inlineStr">
        <is>
          <t>E-1000</t>
        </is>
      </c>
      <c r="J227" t="inlineStr"/>
    </row>
    <row r="228">
      <c r="A228" t="inlineStr">
        <is>
          <t>TX-31589</t>
        </is>
      </c>
      <c r="B228" s="11" t="n">
        <v>46289</v>
      </c>
      <c r="C228" t="inlineStr">
        <is>
          <t>E-1031</t>
        </is>
      </c>
      <c r="D228" t="inlineStr">
        <is>
          <t>Operations</t>
        </is>
      </c>
      <c r="E228" t="inlineStr">
        <is>
          <t>V-1128</t>
        </is>
      </c>
      <c r="F228" t="inlineStr">
        <is>
          <t>Training</t>
        </is>
      </c>
      <c r="G228" s="12" t="n">
        <v>887.63</v>
      </c>
      <c r="H228" t="inlineStr"/>
      <c r="I228" t="inlineStr">
        <is>
          <t>E-1035</t>
        </is>
      </c>
      <c r="J228" t="inlineStr"/>
    </row>
    <row r="229">
      <c r="A229" t="inlineStr">
        <is>
          <t>TX-31596</t>
        </is>
      </c>
      <c r="B229" s="11" t="n">
        <v>46289</v>
      </c>
      <c r="C229" t="inlineStr">
        <is>
          <t>E-1003</t>
        </is>
      </c>
      <c r="D229" t="inlineStr">
        <is>
          <t>People</t>
        </is>
      </c>
      <c r="E229" t="inlineStr">
        <is>
          <t>V-1159</t>
        </is>
      </c>
      <c r="F229" t="inlineStr">
        <is>
          <t>Consulting</t>
        </is>
      </c>
      <c r="G229" s="12" t="n">
        <v>148.56</v>
      </c>
      <c r="H229" t="inlineStr"/>
      <c r="I229" t="inlineStr">
        <is>
          <t>E-1035</t>
        </is>
      </c>
      <c r="J229" t="inlineStr">
        <is>
          <t>Annual licence</t>
        </is>
      </c>
    </row>
    <row r="230">
      <c r="A230" t="inlineStr">
        <is>
          <t>TX-31603</t>
        </is>
      </c>
      <c r="B230" s="11" t="n">
        <v>46290</v>
      </c>
      <c r="C230" t="inlineStr">
        <is>
          <t>E-1031</t>
        </is>
      </c>
      <c r="D230" t="inlineStr">
        <is>
          <t>Operations</t>
        </is>
      </c>
      <c r="E230" t="inlineStr">
        <is>
          <t>V-1139</t>
        </is>
      </c>
      <c r="F230" t="inlineStr">
        <is>
          <t>Meals &amp; entertainment</t>
        </is>
      </c>
      <c r="G230" s="12" t="n">
        <v>2795.89</v>
      </c>
      <c r="H230" t="inlineStr">
        <is>
          <t>PO-88023</t>
        </is>
      </c>
      <c r="I230" t="inlineStr">
        <is>
          <t>E-1035</t>
        </is>
      </c>
      <c r="J230" t="inlineStr">
        <is>
          <t>Monthly invoice</t>
        </is>
      </c>
    </row>
    <row r="231">
      <c r="A231" t="inlineStr">
        <is>
          <t>TX-31610</t>
        </is>
      </c>
      <c r="B231" s="11" t="n">
        <v>46290</v>
      </c>
      <c r="C231" t="inlineStr">
        <is>
          <t>E-1027</t>
        </is>
      </c>
      <c r="D231" t="inlineStr">
        <is>
          <t>Finance</t>
        </is>
      </c>
      <c r="E231" t="inlineStr">
        <is>
          <t>V-1159</t>
        </is>
      </c>
      <c r="F231" t="inlineStr">
        <is>
          <t>Consulting</t>
        </is>
      </c>
      <c r="G231" s="12" t="n">
        <v>58.2</v>
      </c>
      <c r="H231" t="inlineStr"/>
      <c r="I231" t="inlineStr">
        <is>
          <t>E-1019</t>
        </is>
      </c>
      <c r="J231" t="inlineStr">
        <is>
          <t>Monthly invoice</t>
        </is>
      </c>
    </row>
    <row r="232">
      <c r="A232" t="inlineStr">
        <is>
          <t>TX-31617</t>
        </is>
      </c>
      <c r="B232" s="11" t="n">
        <v>46290</v>
      </c>
      <c r="C232" t="inlineStr">
        <is>
          <t>E-1013</t>
        </is>
      </c>
      <c r="D232" t="inlineStr">
        <is>
          <t>Sales</t>
        </is>
      </c>
      <c r="E232" t="inlineStr">
        <is>
          <t>V-1165</t>
        </is>
      </c>
      <c r="F232" t="inlineStr">
        <is>
          <t>Insurance</t>
        </is>
      </c>
      <c r="G232" s="12" t="n">
        <v>6719.7</v>
      </c>
      <c r="H232" t="inlineStr">
        <is>
          <t>PO-88319</t>
        </is>
      </c>
      <c r="I232" t="inlineStr">
        <is>
          <t>E-1000</t>
        </is>
      </c>
      <c r="J232" t="inlineStr"/>
    </row>
    <row r="233">
      <c r="A233" t="inlineStr">
        <is>
          <t>TX-31624</t>
        </is>
      </c>
      <c r="B233" s="11" t="n">
        <v>46290</v>
      </c>
      <c r="C233" t="inlineStr">
        <is>
          <t>E-1025</t>
        </is>
      </c>
      <c r="D233" t="inlineStr">
        <is>
          <t>People</t>
        </is>
      </c>
      <c r="E233" t="inlineStr">
        <is>
          <t>V-1139</t>
        </is>
      </c>
      <c r="F233" t="inlineStr">
        <is>
          <t>Meals &amp; entertainment</t>
        </is>
      </c>
      <c r="G233" s="12" t="n">
        <v>56.66</v>
      </c>
      <c r="H233" t="inlineStr"/>
      <c r="I233" t="inlineStr">
        <is>
          <t>E-1026</t>
        </is>
      </c>
      <c r="J233" t="inlineStr">
        <is>
          <t>Monthly invoice</t>
        </is>
      </c>
    </row>
    <row r="234">
      <c r="A234" t="inlineStr">
        <is>
          <t>TX-31631</t>
        </is>
      </c>
      <c r="B234" s="11" t="n">
        <v>46293</v>
      </c>
      <c r="C234" t="inlineStr">
        <is>
          <t>E-1040</t>
        </is>
      </c>
      <c r="D234" t="inlineStr">
        <is>
          <t>Operations</t>
        </is>
      </c>
      <c r="E234" t="inlineStr">
        <is>
          <t>V-1170</t>
        </is>
      </c>
      <c r="F234" t="inlineStr">
        <is>
          <t>Marketing</t>
        </is>
      </c>
      <c r="G234" s="12" t="n">
        <v>168.76</v>
      </c>
      <c r="H234" t="inlineStr"/>
      <c r="I234" t="inlineStr">
        <is>
          <t>E-1039</t>
        </is>
      </c>
      <c r="J234" t="inlineStr">
        <is>
          <t>Annual licence</t>
        </is>
      </c>
    </row>
    <row r="235">
      <c r="A235" t="inlineStr">
        <is>
          <t>TX-31638</t>
        </is>
      </c>
      <c r="B235" s="11" t="n">
        <v>46293</v>
      </c>
      <c r="C235" t="inlineStr">
        <is>
          <t>E-1033</t>
        </is>
      </c>
      <c r="D235" t="inlineStr">
        <is>
          <t>Facilities</t>
        </is>
      </c>
      <c r="E235" t="inlineStr">
        <is>
          <t>V-1121</t>
        </is>
      </c>
      <c r="F235" t="inlineStr">
        <is>
          <t>Software &amp; hosting</t>
        </is>
      </c>
      <c r="G235" s="12" t="n">
        <v>909.6</v>
      </c>
      <c r="H235" t="inlineStr"/>
      <c r="I235" t="inlineStr">
        <is>
          <t>E-1009</t>
        </is>
      </c>
      <c r="J235" t="inlineStr"/>
    </row>
    <row r="236">
      <c r="A236" t="inlineStr">
        <is>
          <t>TX-31645</t>
        </is>
      </c>
      <c r="B236" s="11" t="n">
        <v>46293</v>
      </c>
      <c r="C236" t="inlineStr">
        <is>
          <t>E-1032</t>
        </is>
      </c>
      <c r="D236" t="inlineStr">
        <is>
          <t>Sales</t>
        </is>
      </c>
      <c r="E236" t="inlineStr">
        <is>
          <t>V-1106</t>
        </is>
      </c>
      <c r="F236" t="inlineStr">
        <is>
          <t>Software &amp; hosting</t>
        </is>
      </c>
      <c r="G236" s="12" t="n">
        <v>159.28</v>
      </c>
      <c r="H236" t="inlineStr"/>
      <c r="I236" t="inlineStr">
        <is>
          <t>E-1026</t>
        </is>
      </c>
      <c r="J236" t="inlineStr">
        <is>
          <t>Ad hoc</t>
        </is>
      </c>
    </row>
    <row r="237">
      <c r="A237" t="inlineStr">
        <is>
          <t>TX-31652</t>
        </is>
      </c>
      <c r="B237" s="11" t="n">
        <v>46295</v>
      </c>
      <c r="C237" t="inlineStr">
        <is>
          <t>E-1038</t>
        </is>
      </c>
      <c r="D237" t="inlineStr">
        <is>
          <t>Marketing</t>
        </is>
      </c>
      <c r="E237" t="inlineStr">
        <is>
          <t>V-1124</t>
        </is>
      </c>
      <c r="F237" t="inlineStr">
        <is>
          <t>Facilities</t>
        </is>
      </c>
      <c r="G237" s="12" t="n">
        <v>191.96</v>
      </c>
      <c r="H237" t="inlineStr"/>
      <c r="I237" t="inlineStr">
        <is>
          <t>E-1012</t>
        </is>
      </c>
      <c r="J237" t="inlineStr">
        <is>
          <t>Ad hoc</t>
        </is>
      </c>
    </row>
    <row r="238">
      <c r="A238" t="inlineStr">
        <is>
          <t>TX-31659</t>
        </is>
      </c>
      <c r="B238" s="11" t="n">
        <v>46295</v>
      </c>
      <c r="C238" t="inlineStr">
        <is>
          <t>E-1014</t>
        </is>
      </c>
      <c r="D238" t="inlineStr">
        <is>
          <t>Marketing</t>
        </is>
      </c>
      <c r="E238" t="inlineStr">
        <is>
          <t>V-1128</t>
        </is>
      </c>
      <c r="F238" t="inlineStr">
        <is>
          <t>Training</t>
        </is>
      </c>
      <c r="G238" s="12" t="n">
        <v>386.7</v>
      </c>
      <c r="H238" t="inlineStr"/>
      <c r="I238" t="inlineStr">
        <is>
          <t>E-1017</t>
        </is>
      </c>
      <c r="J238" t="inlineStr">
        <is>
          <t>Team offsite</t>
        </is>
      </c>
    </row>
    <row r="239">
      <c r="A239" t="inlineStr">
        <is>
          <t>TX-31666</t>
        </is>
      </c>
      <c r="B239" s="11" t="n">
        <v>46295</v>
      </c>
      <c r="C239" t="inlineStr">
        <is>
          <t>E-1027</t>
        </is>
      </c>
      <c r="D239" t="inlineStr">
        <is>
          <t>Finance</t>
        </is>
      </c>
      <c r="E239" t="inlineStr">
        <is>
          <t>V-1185</t>
        </is>
      </c>
      <c r="F239" t="inlineStr">
        <is>
          <t>Facilities</t>
        </is>
      </c>
      <c r="G239" s="12" t="n">
        <v>154.13</v>
      </c>
      <c r="H239" t="inlineStr"/>
      <c r="I239" t="inlineStr">
        <is>
          <t>E-1040</t>
        </is>
      </c>
      <c r="J239" t="inlineStr"/>
    </row>
    <row r="240">
      <c r="A240" t="inlineStr">
        <is>
          <t>TX-31673</t>
        </is>
      </c>
      <c r="B240" s="11" t="n">
        <v>46295</v>
      </c>
      <c r="C240" t="inlineStr">
        <is>
          <t>E-1036</t>
        </is>
      </c>
      <c r="D240" t="inlineStr">
        <is>
          <t>Finance</t>
        </is>
      </c>
      <c r="E240" t="inlineStr">
        <is>
          <t>V-1143</t>
        </is>
      </c>
      <c r="F240" t="inlineStr">
        <is>
          <t>Marketing</t>
        </is>
      </c>
      <c r="G240" s="12" t="n">
        <v>193.34</v>
      </c>
      <c r="H240" t="inlineStr"/>
      <c r="I240" t="inlineStr">
        <is>
          <t>E-1040</t>
        </is>
      </c>
      <c r="J240" t="inlineStr">
        <is>
          <t>Client meeting</t>
        </is>
      </c>
    </row>
    <row r="241">
      <c r="A241" t="inlineStr">
        <is>
          <t>TX-31680</t>
        </is>
      </c>
      <c r="B241" s="11" t="n">
        <v>46295</v>
      </c>
      <c r="C241" t="inlineStr">
        <is>
          <t>E-1009</t>
        </is>
      </c>
      <c r="D241" t="inlineStr">
        <is>
          <t>Facilities</t>
        </is>
      </c>
      <c r="E241" t="inlineStr">
        <is>
          <t>V-1106</t>
        </is>
      </c>
      <c r="F241" t="inlineStr">
        <is>
          <t>Software &amp; hosting</t>
        </is>
      </c>
      <c r="G241" s="12" t="n">
        <v>13958.71</v>
      </c>
      <c r="H241" t="inlineStr">
        <is>
          <t>PO-88253</t>
        </is>
      </c>
      <c r="I241" t="inlineStr">
        <is>
          <t>E-1000</t>
        </is>
      </c>
      <c r="J241" t="inlineStr">
        <is>
          <t>Replacement</t>
        </is>
      </c>
    </row>
    <row r="242">
      <c r="A242" t="inlineStr">
        <is>
          <t>TX-31687</t>
        </is>
      </c>
      <c r="B242" s="11" t="n">
        <v>46295</v>
      </c>
      <c r="C242" t="inlineStr">
        <is>
          <t>E-1028</t>
        </is>
      </c>
      <c r="D242" t="inlineStr">
        <is>
          <t>Engineering</t>
        </is>
      </c>
      <c r="E242" t="inlineStr">
        <is>
          <t>V-1143</t>
        </is>
      </c>
      <c r="F242" t="inlineStr">
        <is>
          <t>Marketing</t>
        </is>
      </c>
      <c r="G242" s="12" t="n">
        <v>108.38</v>
      </c>
      <c r="H242" t="inlineStr"/>
      <c r="I242" t="inlineStr">
        <is>
          <t>E-1019</t>
        </is>
      </c>
      <c r="J242" t="inlineStr">
        <is>
          <t>Annual licence</t>
        </is>
      </c>
    </row>
    <row r="243">
      <c r="A243" t="inlineStr">
        <is>
          <t>TX-31694</t>
        </is>
      </c>
      <c r="B243" s="11" t="n">
        <v>46295</v>
      </c>
      <c r="C243" t="inlineStr">
        <is>
          <t>E-1018</t>
        </is>
      </c>
      <c r="D243" t="inlineStr">
        <is>
          <t>Operations</t>
        </is>
      </c>
      <c r="E243" t="inlineStr">
        <is>
          <t>V-1117</t>
        </is>
      </c>
      <c r="F243" t="inlineStr">
        <is>
          <t>Meals &amp; entertainment</t>
        </is>
      </c>
      <c r="G243" s="12" t="n">
        <v>128.3</v>
      </c>
      <c r="H243" t="inlineStr"/>
      <c r="I243" t="inlineStr">
        <is>
          <t>E-1040</t>
        </is>
      </c>
      <c r="J243" t="inlineStr"/>
    </row>
    <row r="245">
      <c r="F245" s="2" t="inlineStr">
        <is>
          <t>Q3 total</t>
        </is>
      </c>
      <c r="G245" s="12">
        <f>SUM(G2:G243)</f>
        <v/>
      </c>
    </row>
  </sheetData>
  <autoFilter ref="A1:J2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6" customWidth="1" min="3" max="3"/>
    <col width="22" customWidth="1" min="4" max="4"/>
    <col width="17" customWidth="1" min="5" max="5"/>
    <col width="14" customWidth="1" min="6" max="6"/>
    <col width="19" customWidth="1" min="7" max="7"/>
    <col width="15" customWidth="1" min="8" max="8"/>
  </cols>
  <sheetData>
    <row r="1">
      <c r="A1" s="10" t="inlineStr">
        <is>
          <t>Vendor ID</t>
        </is>
      </c>
      <c r="B1" s="10" t="inlineStr">
        <is>
          <t>Vendor name</t>
        </is>
      </c>
      <c r="C1" s="10" t="inlineStr">
        <is>
          <t>Registered address</t>
        </is>
      </c>
      <c r="D1" s="10" t="inlineStr">
        <is>
          <t>Category</t>
        </is>
      </c>
      <c r="E1" s="10" t="inlineStr">
        <is>
          <t>Bank acct (last 4)</t>
        </is>
      </c>
      <c r="F1" s="10" t="inlineStr">
        <is>
          <t>Payment terms</t>
        </is>
      </c>
      <c r="G1" s="10" t="inlineStr">
        <is>
          <t>Created</t>
        </is>
      </c>
      <c r="H1" s="10" t="inlineStr">
        <is>
          <t>Created by</t>
        </is>
      </c>
    </row>
    <row r="2">
      <c r="A2" t="inlineStr">
        <is>
          <t>V-1102</t>
        </is>
      </c>
      <c r="B2" t="inlineStr">
        <is>
          <t>Contoso Office Supply</t>
        </is>
      </c>
      <c r="C2" t="inlineStr">
        <is>
          <t>14 Mill Lane, Bradford BD1 4AA</t>
        </is>
      </c>
      <c r="D2" t="inlineStr">
        <is>
          <t>Office supplies</t>
        </is>
      </c>
      <c r="E2" s="13" t="inlineStr">
        <is>
          <t>5837</t>
        </is>
      </c>
      <c r="F2" t="inlineStr">
        <is>
          <t>Net 30</t>
        </is>
      </c>
      <c r="G2" s="14" t="n">
        <v>45605.63810185185</v>
      </c>
      <c r="H2" t="inlineStr">
        <is>
          <t>E-1036</t>
        </is>
      </c>
    </row>
    <row r="3">
      <c r="A3" t="inlineStr">
        <is>
          <t>V-1106</t>
        </is>
      </c>
      <c r="B3" t="inlineStr">
        <is>
          <t>Fabrikam Cloud Hosting</t>
        </is>
      </c>
      <c r="C3" t="inlineStr">
        <is>
          <t>1 Data Park, Slough SL1 4XX</t>
        </is>
      </c>
      <c r="D3" t="inlineStr">
        <is>
          <t>Software &amp; hosting</t>
        </is>
      </c>
      <c r="E3" s="13" t="inlineStr">
        <is>
          <t>6826</t>
        </is>
      </c>
      <c r="F3" t="inlineStr">
        <is>
          <t>Net 45</t>
        </is>
      </c>
      <c r="G3" s="14" t="n">
        <v>44340.43042824074</v>
      </c>
      <c r="H3" t="inlineStr">
        <is>
          <t>E-1027</t>
        </is>
      </c>
    </row>
    <row r="4">
      <c r="A4" t="inlineStr">
        <is>
          <t>V-1109</t>
        </is>
      </c>
      <c r="B4" t="inlineStr">
        <is>
          <t>Northbridge Logistics Ltd</t>
        </is>
      </c>
      <c r="C4" t="inlineStr">
        <is>
          <t>Unit 4, Northbridge Ind. Est., Wakefield WF2 7AB</t>
        </is>
      </c>
      <c r="D4" t="inlineStr">
        <is>
          <t>Shipping</t>
        </is>
      </c>
      <c r="E4" s="13" t="inlineStr">
        <is>
          <t>2010</t>
        </is>
      </c>
      <c r="F4" t="inlineStr">
        <is>
          <t>Net 45</t>
        </is>
      </c>
      <c r="G4" s="14" t="n">
        <v>45315.4240625</v>
      </c>
      <c r="H4" t="inlineStr">
        <is>
          <t>E-1027</t>
        </is>
      </c>
    </row>
    <row r="5">
      <c r="A5" t="inlineStr">
        <is>
          <t>V-1114</t>
        </is>
      </c>
      <c r="B5" t="inlineStr">
        <is>
          <t>Tailspin Travel</t>
        </is>
      </c>
      <c r="C5" t="inlineStr">
        <is>
          <t>200 Kings Road, London SW3 5UE</t>
        </is>
      </c>
      <c r="D5" t="inlineStr">
        <is>
          <t>Travel</t>
        </is>
      </c>
      <c r="E5" s="13" t="inlineStr">
        <is>
          <t>6293</t>
        </is>
      </c>
      <c r="F5" t="inlineStr">
        <is>
          <t>Net 30</t>
        </is>
      </c>
      <c r="G5" s="14" t="n">
        <v>42570.47391203704</v>
      </c>
      <c r="H5" t="inlineStr">
        <is>
          <t>E-1036</t>
        </is>
      </c>
    </row>
    <row r="6">
      <c r="A6" t="inlineStr">
        <is>
          <t>V-1117</t>
        </is>
      </c>
      <c r="B6" t="inlineStr">
        <is>
          <t>Woodgrove Catering</t>
        </is>
      </c>
      <c r="C6" t="inlineStr">
        <is>
          <t>9 Market St, Leeds LS1 6DT</t>
        </is>
      </c>
      <c r="D6" t="inlineStr">
        <is>
          <t>Meals &amp; entertainment</t>
        </is>
      </c>
      <c r="E6" s="13" t="inlineStr">
        <is>
          <t>6502</t>
        </is>
      </c>
      <c r="F6" t="inlineStr">
        <is>
          <t>Net 30</t>
        </is>
      </c>
      <c r="G6" s="14" t="n">
        <v>43344.73859953704</v>
      </c>
      <c r="H6" t="inlineStr">
        <is>
          <t>SYSTEM-IMPORT</t>
        </is>
      </c>
    </row>
    <row r="7">
      <c r="A7" t="inlineStr">
        <is>
          <t>V-1121</t>
        </is>
      </c>
      <c r="B7" t="inlineStr">
        <is>
          <t>Litware Licensing</t>
        </is>
      </c>
      <c r="C7" t="inlineStr">
        <is>
          <t>Suite 300, 50 Canal Rd, Manchester M1 3AB</t>
        </is>
      </c>
      <c r="D7" t="inlineStr">
        <is>
          <t>Software &amp; hosting</t>
        </is>
      </c>
      <c r="E7" s="13" t="inlineStr">
        <is>
          <t>4322</t>
        </is>
      </c>
      <c r="F7" t="inlineStr">
        <is>
          <t>Net 30</t>
        </is>
      </c>
      <c r="G7" s="14" t="n">
        <v>42378.7294675926</v>
      </c>
      <c r="H7" t="inlineStr">
        <is>
          <t>SYSTEM-IMPORT</t>
        </is>
      </c>
    </row>
    <row r="8">
      <c r="A8" t="inlineStr">
        <is>
          <t>V-1124</t>
        </is>
      </c>
      <c r="B8" t="inlineStr">
        <is>
          <t>Adatum Facilities Services</t>
        </is>
      </c>
      <c r="C8" t="inlineStr">
        <is>
          <t>Plot 7, Ring Rd, Leeds LS12 6HR</t>
        </is>
      </c>
      <c r="D8" t="inlineStr">
        <is>
          <t>Facilities</t>
        </is>
      </c>
      <c r="E8" s="13" t="inlineStr">
        <is>
          <t>5582</t>
        </is>
      </c>
      <c r="F8" t="inlineStr">
        <is>
          <t>Net 30</t>
        </is>
      </c>
      <c r="G8" s="14" t="n">
        <v>43345.74462962963</v>
      </c>
      <c r="H8" t="inlineStr">
        <is>
          <t>E-1036</t>
        </is>
      </c>
    </row>
    <row r="9">
      <c r="A9" t="inlineStr">
        <is>
          <t>V-1128</t>
        </is>
      </c>
      <c r="B9" t="inlineStr">
        <is>
          <t>Proseware Training</t>
        </is>
      </c>
      <c r="C9" t="inlineStr">
        <is>
          <t>33 College Green, Bristol BS1 5TB</t>
        </is>
      </c>
      <c r="D9" t="inlineStr">
        <is>
          <t>Training</t>
        </is>
      </c>
      <c r="E9" s="13" t="inlineStr">
        <is>
          <t>2471</t>
        </is>
      </c>
      <c r="F9" t="inlineStr">
        <is>
          <t>Net 60</t>
        </is>
      </c>
      <c r="G9" s="14" t="n">
        <v>43679.53023148148</v>
      </c>
      <c r="H9" t="inlineStr">
        <is>
          <t>SYSTEM-IMPORT</t>
        </is>
      </c>
    </row>
    <row r="10">
      <c r="A10" t="inlineStr">
        <is>
          <t>V-1134</t>
        </is>
      </c>
      <c r="B10" t="inlineStr">
        <is>
          <t>Wide World Couriers</t>
        </is>
      </c>
      <c r="C10" t="inlineStr">
        <is>
          <t>Hangar 2, Leeds Bradford Airport LS19 7TU</t>
        </is>
      </c>
      <c r="D10" t="inlineStr">
        <is>
          <t>Shipping</t>
        </is>
      </c>
      <c r="E10" s="13" t="inlineStr">
        <is>
          <t>3292</t>
        </is>
      </c>
      <c r="F10" t="inlineStr">
        <is>
          <t>Net 60</t>
        </is>
      </c>
      <c r="G10" s="14" t="n">
        <v>43735.55688657407</v>
      </c>
      <c r="H10" t="inlineStr">
        <is>
          <t>E-1036</t>
        </is>
      </c>
    </row>
    <row r="11">
      <c r="A11" t="inlineStr">
        <is>
          <t>V-1139</t>
        </is>
      </c>
      <c r="B11" t="inlineStr">
        <is>
          <t>Fourth Coffee Roasters</t>
        </is>
      </c>
      <c r="C11" t="inlineStr">
        <is>
          <t>3 Arches Yard, Leeds LS11 5RB</t>
        </is>
      </c>
      <c r="D11" t="inlineStr">
        <is>
          <t>Meals &amp; entertainment</t>
        </is>
      </c>
      <c r="E11" s="13" t="inlineStr">
        <is>
          <t>2519</t>
        </is>
      </c>
      <c r="F11" t="inlineStr">
        <is>
          <t>Net 45</t>
        </is>
      </c>
      <c r="G11" s="14" t="n">
        <v>45784.48641203704</v>
      </c>
      <c r="H11" t="inlineStr">
        <is>
          <t>E-1027</t>
        </is>
      </c>
    </row>
    <row r="12">
      <c r="A12" t="inlineStr">
        <is>
          <t>V-1143</t>
        </is>
      </c>
      <c r="B12" t="inlineStr">
        <is>
          <t>Coho Print &amp; Design</t>
        </is>
      </c>
      <c r="C12" t="inlineStr">
        <is>
          <t>18 Dock St, Hull HU1 3DL</t>
        </is>
      </c>
      <c r="D12" t="inlineStr">
        <is>
          <t>Marketing</t>
        </is>
      </c>
      <c r="E12" s="13" t="inlineStr">
        <is>
          <t>8957</t>
        </is>
      </c>
      <c r="F12" t="inlineStr">
        <is>
          <t>Net 30</t>
        </is>
      </c>
      <c r="G12" s="14" t="n">
        <v>42680.43012731482</v>
      </c>
      <c r="H12" t="inlineStr">
        <is>
          <t>E-1027</t>
        </is>
      </c>
    </row>
    <row r="13">
      <c r="A13" t="inlineStr">
        <is>
          <t>V-1144</t>
        </is>
      </c>
      <c r="B13" t="inlineStr">
        <is>
          <t>Margie's Travel</t>
        </is>
      </c>
      <c r="C13" t="inlineStr">
        <is>
          <t>71 Station Rd, York YO24 1AB</t>
        </is>
      </c>
      <c r="D13" t="inlineStr">
        <is>
          <t>Travel</t>
        </is>
      </c>
      <c r="E13" s="13" t="inlineStr">
        <is>
          <t>6443</t>
        </is>
      </c>
      <c r="F13" t="inlineStr">
        <is>
          <t>Net 30</t>
        </is>
      </c>
      <c r="G13" s="14" t="n">
        <v>45410.56668981481</v>
      </c>
      <c r="H13" t="inlineStr">
        <is>
          <t>E-1027</t>
        </is>
      </c>
    </row>
    <row r="14">
      <c r="A14" t="inlineStr">
        <is>
          <t>V-1148</t>
        </is>
      </c>
      <c r="B14" t="inlineStr">
        <is>
          <t>Alpine Ski House Events</t>
        </is>
      </c>
      <c r="C14" t="inlineStr">
        <is>
          <t>2 Alpine Way, Harrogate HG1 2RT</t>
        </is>
      </c>
      <c r="D14" t="inlineStr">
        <is>
          <t>Events</t>
        </is>
      </c>
      <c r="E14" s="13" t="inlineStr">
        <is>
          <t>5085</t>
        </is>
      </c>
      <c r="F14" t="inlineStr">
        <is>
          <t>Net 30</t>
        </is>
      </c>
      <c r="G14" s="14" t="n">
        <v>43447.60782407408</v>
      </c>
      <c r="H14" t="inlineStr">
        <is>
          <t>E-1027</t>
        </is>
      </c>
    </row>
    <row r="15">
      <c r="A15" t="inlineStr">
        <is>
          <t>V-1154</t>
        </is>
      </c>
      <c r="B15" t="inlineStr">
        <is>
          <t>Blue Yonder Airlines</t>
        </is>
      </c>
      <c r="C15" t="inlineStr">
        <is>
          <t>Terminal 1, Manchester Airport M90 1QX</t>
        </is>
      </c>
      <c r="D15" t="inlineStr">
        <is>
          <t>Travel</t>
        </is>
      </c>
      <c r="E15" s="13" t="inlineStr">
        <is>
          <t>3091</t>
        </is>
      </c>
      <c r="F15" t="inlineStr">
        <is>
          <t>Net 30</t>
        </is>
      </c>
      <c r="G15" s="14" t="n">
        <v>44084.58916666666</v>
      </c>
      <c r="H15" t="inlineStr">
        <is>
          <t>SYSTEM-IMPORT</t>
        </is>
      </c>
    </row>
    <row r="16">
      <c r="A16" t="inlineStr">
        <is>
          <t>V-1159</t>
        </is>
      </c>
      <c r="B16" t="inlineStr">
        <is>
          <t>Trey Research Partners</t>
        </is>
      </c>
      <c r="C16" t="inlineStr">
        <is>
          <t>Level 9, 1 Park Row, Leeds LS1 5AB</t>
        </is>
      </c>
      <c r="D16" t="inlineStr">
        <is>
          <t>Consulting</t>
        </is>
      </c>
      <c r="E16" s="13" t="inlineStr">
        <is>
          <t>8457</t>
        </is>
      </c>
      <c r="F16" t="inlineStr">
        <is>
          <t>Net 30</t>
        </is>
      </c>
      <c r="G16" s="14" t="n">
        <v>44738.71581018518</v>
      </c>
      <c r="H16" t="inlineStr">
        <is>
          <t>E-1036</t>
        </is>
      </c>
    </row>
    <row r="17">
      <c r="A17" t="inlineStr">
        <is>
          <t>V-1161</t>
        </is>
      </c>
      <c r="B17" t="inlineStr">
        <is>
          <t>Lucerne Publishing</t>
        </is>
      </c>
      <c r="C17" t="inlineStr">
        <is>
          <t>12 Bridge St, Cambridge CB2 1UF</t>
        </is>
      </c>
      <c r="D17" t="inlineStr">
        <is>
          <t>Marketing</t>
        </is>
      </c>
      <c r="E17" s="13" t="inlineStr">
        <is>
          <t>1042</t>
        </is>
      </c>
      <c r="F17" t="inlineStr">
        <is>
          <t>Net 30</t>
        </is>
      </c>
      <c r="G17" s="14" t="n">
        <v>42417.41207175926</v>
      </c>
      <c r="H17" t="inlineStr">
        <is>
          <t>E-1027</t>
        </is>
      </c>
    </row>
    <row r="18">
      <c r="A18" t="inlineStr">
        <is>
          <t>V-1165</t>
        </is>
      </c>
      <c r="B18" t="inlineStr">
        <is>
          <t>Humongous Insurance</t>
        </is>
      </c>
      <c r="C18" t="inlineStr">
        <is>
          <t>1 Insurance Sq, Norwich NR1 3NG</t>
        </is>
      </c>
      <c r="D18" t="inlineStr">
        <is>
          <t>Insurance</t>
        </is>
      </c>
      <c r="E18" s="13" t="inlineStr">
        <is>
          <t>1198</t>
        </is>
      </c>
      <c r="F18" t="inlineStr">
        <is>
          <t>Net 30</t>
        </is>
      </c>
      <c r="G18" s="14" t="n">
        <v>43142.67146990741</v>
      </c>
      <c r="H18" t="inlineStr">
        <is>
          <t>E-1036</t>
        </is>
      </c>
    </row>
    <row r="19">
      <c r="A19" t="inlineStr">
        <is>
          <t>V-1170</t>
        </is>
      </c>
      <c r="B19" t="inlineStr">
        <is>
          <t>Graphic Design Institute</t>
        </is>
      </c>
      <c r="C19" t="inlineStr">
        <is>
          <t>45 Albion St, Leeds LS1 6HX</t>
        </is>
      </c>
      <c r="D19" t="inlineStr">
        <is>
          <t>Marketing</t>
        </is>
      </c>
      <c r="E19" s="13" t="inlineStr">
        <is>
          <t>5876</t>
        </is>
      </c>
      <c r="F19" t="inlineStr">
        <is>
          <t>Net 45</t>
        </is>
      </c>
      <c r="G19" s="14" t="n">
        <v>45142.73142361111</v>
      </c>
      <c r="H19" t="inlineStr">
        <is>
          <t>E-1036</t>
        </is>
      </c>
    </row>
    <row r="20">
      <c r="A20" t="inlineStr">
        <is>
          <t>V-1172</t>
        </is>
      </c>
      <c r="B20" t="inlineStr">
        <is>
          <t>Southridge Video</t>
        </is>
      </c>
      <c r="C20" t="inlineStr">
        <is>
          <t>8 Studio Way, Salford M50 2EQ</t>
        </is>
      </c>
      <c r="D20" t="inlineStr">
        <is>
          <t>Marketing</t>
        </is>
      </c>
      <c r="E20" s="13" t="inlineStr">
        <is>
          <t>4346</t>
        </is>
      </c>
      <c r="F20" t="inlineStr">
        <is>
          <t>Net 30</t>
        </is>
      </c>
      <c r="G20" s="14" t="n">
        <v>42792.70091435185</v>
      </c>
      <c r="H20" t="inlineStr">
        <is>
          <t>E-1027</t>
        </is>
      </c>
    </row>
    <row r="21">
      <c r="A21" t="inlineStr">
        <is>
          <t>V-1178</t>
        </is>
      </c>
      <c r="B21" t="inlineStr">
        <is>
          <t>City Power &amp; Light</t>
        </is>
      </c>
      <c r="C21" t="inlineStr">
        <is>
          <t>Energy House, Leeds LS2 8JS</t>
        </is>
      </c>
      <c r="D21" t="inlineStr">
        <is>
          <t>Utilities</t>
        </is>
      </c>
      <c r="E21" s="13" t="inlineStr">
        <is>
          <t>8080</t>
        </is>
      </c>
      <c r="F21" t="inlineStr">
        <is>
          <t>Net 30</t>
        </is>
      </c>
      <c r="G21" s="14" t="n">
        <v>44822.59789351852</v>
      </c>
      <c r="H21" t="inlineStr">
        <is>
          <t>E-1027</t>
        </is>
      </c>
    </row>
    <row r="22">
      <c r="A22" t="inlineStr">
        <is>
          <t>V-1183</t>
        </is>
      </c>
      <c r="B22" t="inlineStr">
        <is>
          <t>Relecloud Analytics</t>
        </is>
      </c>
      <c r="C22" t="inlineStr">
        <is>
          <t>Floor 4, 10 Wellington Pl, Leeds LS1 4AP</t>
        </is>
      </c>
      <c r="D22" t="inlineStr">
        <is>
          <t>Consulting</t>
        </is>
      </c>
      <c r="E22" s="13" t="inlineStr">
        <is>
          <t>9664</t>
        </is>
      </c>
      <c r="F22" t="inlineStr">
        <is>
          <t>Net 60</t>
        </is>
      </c>
      <c r="G22" s="14" t="n">
        <v>43811.60200231482</v>
      </c>
      <c r="H22" t="inlineStr">
        <is>
          <t>E-1027</t>
        </is>
      </c>
    </row>
    <row r="23">
      <c r="A23" t="inlineStr">
        <is>
          <t>V-1185</t>
        </is>
      </c>
      <c r="B23" t="inlineStr">
        <is>
          <t>VanArsdel Furniture</t>
        </is>
      </c>
      <c r="C23" t="inlineStr">
        <is>
          <t>Unit 9, Thorp Arch Est., Wetherby LS23 7BJ</t>
        </is>
      </c>
      <c r="D23" t="inlineStr">
        <is>
          <t>Facilities</t>
        </is>
      </c>
      <c r="E23" s="13" t="inlineStr">
        <is>
          <t>7281</t>
        </is>
      </c>
      <c r="F23" t="inlineStr">
        <is>
          <t>Net 30</t>
        </is>
      </c>
      <c r="G23" s="14" t="n">
        <v>44692.43075231482</v>
      </c>
      <c r="H23" t="inlineStr">
        <is>
          <t>E-1036</t>
        </is>
      </c>
    </row>
    <row r="24">
      <c r="A24" t="inlineStr">
        <is>
          <t>V-1187</t>
        </is>
      </c>
      <c r="B24" t="inlineStr">
        <is>
          <t>Northbridge Strategic Advisory LLC</t>
        </is>
      </c>
      <c r="C24" t="inlineStr">
        <is>
          <t>Unit 12, 88 Harlow Street, Leeds LS6 2QA</t>
        </is>
      </c>
      <c r="D24" t="inlineStr">
        <is>
          <t>Consulting</t>
        </is>
      </c>
      <c r="E24" s="13" t="inlineStr">
        <is>
          <t>4471</t>
        </is>
      </c>
      <c r="F24" t="inlineStr">
        <is>
          <t>Net 7</t>
        </is>
      </c>
      <c r="G24" s="14" t="n">
        <v>46203.96865740741</v>
      </c>
      <c r="H24" t="inlineStr">
        <is>
          <t>SYSTEM-IMPORT</t>
        </is>
      </c>
    </row>
  </sheetData>
  <autoFilter ref="A1:H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2" customWidth="1" min="5" max="5"/>
    <col width="12" customWidth="1" min="6" max="6"/>
    <col width="12" customWidth="1" min="7" max="7"/>
    <col width="11" customWidth="1" min="8" max="8"/>
    <col width="19" customWidth="1" min="9" max="9"/>
  </cols>
  <sheetData>
    <row r="1">
      <c r="A1" s="10" t="inlineStr">
        <is>
          <t>Employee ID</t>
        </is>
      </c>
      <c r="B1" s="10" t="inlineStr">
        <is>
          <t>First name</t>
        </is>
      </c>
      <c r="C1" s="10" t="inlineStr">
        <is>
          <t>Last name</t>
        </is>
      </c>
      <c r="D1" s="10" t="inlineStr">
        <is>
          <t>Department</t>
        </is>
      </c>
      <c r="E1" s="10" t="inlineStr">
        <is>
          <t>Title</t>
        </is>
      </c>
      <c r="F1" s="10" t="inlineStr">
        <is>
          <t>Manager ID</t>
        </is>
      </c>
      <c r="G1" s="10" t="inlineStr">
        <is>
          <t>Start date</t>
        </is>
      </c>
      <c r="H1" s="10" t="inlineStr">
        <is>
          <t>Badge ID</t>
        </is>
      </c>
      <c r="I1" s="10" t="inlineStr">
        <is>
          <t>Payroll acct (last 4)</t>
        </is>
      </c>
    </row>
    <row r="2">
      <c r="A2" t="inlineStr">
        <is>
          <t>E-1001</t>
        </is>
      </c>
      <c r="B2" t="inlineStr">
        <is>
          <t>Hiro</t>
        </is>
      </c>
      <c r="C2" t="inlineStr">
        <is>
          <t>Larsen</t>
        </is>
      </c>
      <c r="D2" t="inlineStr">
        <is>
          <t>Operations</t>
        </is>
      </c>
      <c r="E2" t="inlineStr">
        <is>
          <t>Procurement Lead</t>
        </is>
      </c>
      <c r="F2" t="inlineStr">
        <is>
          <t>E-1000</t>
        </is>
      </c>
      <c r="G2" s="11" t="n">
        <v>42746</v>
      </c>
      <c r="H2" t="inlineStr">
        <is>
          <t>B-55197</t>
        </is>
      </c>
      <c r="I2" s="13" t="inlineStr">
        <is>
          <t>5853</t>
        </is>
      </c>
    </row>
    <row r="3">
      <c r="A3" t="inlineStr">
        <is>
          <t>E-1002</t>
        </is>
      </c>
      <c r="B3" t="inlineStr">
        <is>
          <t>Grace</t>
        </is>
      </c>
      <c r="C3" t="inlineStr">
        <is>
          <t>Romero</t>
        </is>
      </c>
      <c r="D3" t="inlineStr">
        <is>
          <t>Operations</t>
        </is>
      </c>
      <c r="E3" t="inlineStr">
        <is>
          <t>Procurement Lead</t>
        </is>
      </c>
      <c r="F3" t="inlineStr">
        <is>
          <t>E-1001</t>
        </is>
      </c>
      <c r="G3" s="11" t="n">
        <v>45032</v>
      </c>
      <c r="H3" t="inlineStr">
        <is>
          <t>B-84485</t>
        </is>
      </c>
      <c r="I3" s="13" t="inlineStr">
        <is>
          <t>2209</t>
        </is>
      </c>
    </row>
    <row r="4">
      <c r="A4" t="inlineStr">
        <is>
          <t>E-1003</t>
        </is>
      </c>
      <c r="B4" t="inlineStr">
        <is>
          <t>Jade</t>
        </is>
      </c>
      <c r="C4" t="inlineStr">
        <is>
          <t>Torres</t>
        </is>
      </c>
      <c r="D4" t="inlineStr">
        <is>
          <t>People</t>
        </is>
      </c>
      <c r="E4" t="inlineStr">
        <is>
          <t>Recruiter</t>
        </is>
      </c>
      <c r="F4" t="inlineStr">
        <is>
          <t>E-1000</t>
        </is>
      </c>
      <c r="G4" s="11" t="n">
        <v>45049</v>
      </c>
      <c r="H4" t="inlineStr">
        <is>
          <t>B-37198</t>
        </is>
      </c>
      <c r="I4" s="13" t="inlineStr">
        <is>
          <t>9799</t>
        </is>
      </c>
    </row>
    <row r="5">
      <c r="A5" t="inlineStr">
        <is>
          <t>E-1004</t>
        </is>
      </c>
      <c r="B5" t="inlineStr">
        <is>
          <t>Lena</t>
        </is>
      </c>
      <c r="C5" t="inlineStr">
        <is>
          <t>Walsh</t>
        </is>
      </c>
      <c r="D5" t="inlineStr">
        <is>
          <t>Engineering</t>
        </is>
      </c>
      <c r="E5" t="inlineStr">
        <is>
          <t>Software Engineer</t>
        </is>
      </c>
      <c r="F5" t="inlineStr">
        <is>
          <t>E-1000</t>
        </is>
      </c>
      <c r="G5" s="11" t="n">
        <v>43018</v>
      </c>
      <c r="H5" t="inlineStr">
        <is>
          <t>B-74759</t>
        </is>
      </c>
      <c r="I5" s="13" t="inlineStr">
        <is>
          <t>2623</t>
        </is>
      </c>
    </row>
    <row r="6">
      <c r="A6" t="inlineStr">
        <is>
          <t>E-1005</t>
        </is>
      </c>
      <c r="B6" t="inlineStr">
        <is>
          <t>Femi</t>
        </is>
      </c>
      <c r="C6" t="inlineStr">
        <is>
          <t>Silva</t>
        </is>
      </c>
      <c r="D6" t="inlineStr">
        <is>
          <t>Sales</t>
        </is>
      </c>
      <c r="E6" t="inlineStr">
        <is>
          <t>Account Executive</t>
        </is>
      </c>
      <c r="F6" t="inlineStr">
        <is>
          <t>E-1000</t>
        </is>
      </c>
      <c r="G6" s="11" t="n">
        <v>44272</v>
      </c>
      <c r="H6" t="inlineStr">
        <is>
          <t>B-86545</t>
        </is>
      </c>
      <c r="I6" s="13" t="inlineStr">
        <is>
          <t>6750</t>
        </is>
      </c>
    </row>
    <row r="7">
      <c r="A7" t="inlineStr">
        <is>
          <t>E-1006</t>
        </is>
      </c>
      <c r="B7" t="inlineStr">
        <is>
          <t>Cole</t>
        </is>
      </c>
      <c r="C7" t="inlineStr">
        <is>
          <t>Okafor</t>
        </is>
      </c>
      <c r="D7" t="inlineStr">
        <is>
          <t>People</t>
        </is>
      </c>
      <c r="E7" t="inlineStr">
        <is>
          <t>Recruiter</t>
        </is>
      </c>
      <c r="F7" t="inlineStr">
        <is>
          <t>E-1003</t>
        </is>
      </c>
      <c r="G7" s="11" t="n">
        <v>42048</v>
      </c>
      <c r="H7" t="inlineStr">
        <is>
          <t>B-45781</t>
        </is>
      </c>
      <c r="I7" s="13" t="inlineStr">
        <is>
          <t>6160</t>
        </is>
      </c>
    </row>
    <row r="8">
      <c r="A8" t="inlineStr">
        <is>
          <t>E-1007</t>
        </is>
      </c>
      <c r="B8" t="inlineStr">
        <is>
          <t>Uma</t>
        </is>
      </c>
      <c r="C8" t="inlineStr">
        <is>
          <t>Mensah</t>
        </is>
      </c>
      <c r="D8" t="inlineStr">
        <is>
          <t>Marketing</t>
        </is>
      </c>
      <c r="E8" t="inlineStr">
        <is>
          <t>Content Lead</t>
        </is>
      </c>
      <c r="F8" t="inlineStr">
        <is>
          <t>E-1000</t>
        </is>
      </c>
      <c r="G8" s="11" t="n">
        <v>44147</v>
      </c>
      <c r="H8" t="inlineStr">
        <is>
          <t>B-29625</t>
        </is>
      </c>
      <c r="I8" s="13" t="inlineStr">
        <is>
          <t>0841</t>
        </is>
      </c>
    </row>
    <row r="9">
      <c r="A9" t="inlineStr">
        <is>
          <t>E-1008</t>
        </is>
      </c>
      <c r="B9" t="inlineStr">
        <is>
          <t>Wen</t>
        </is>
      </c>
      <c r="C9" t="inlineStr">
        <is>
          <t>Osei</t>
        </is>
      </c>
      <c r="D9" t="inlineStr">
        <is>
          <t>People</t>
        </is>
      </c>
      <c r="E9" t="inlineStr">
        <is>
          <t>Recruiter</t>
        </is>
      </c>
      <c r="F9" t="inlineStr">
        <is>
          <t>E-1003</t>
        </is>
      </c>
      <c r="G9" s="11" t="n">
        <v>45149</v>
      </c>
      <c r="H9" t="inlineStr">
        <is>
          <t>B-23380</t>
        </is>
      </c>
      <c r="I9" s="13" t="inlineStr">
        <is>
          <t>0419</t>
        </is>
      </c>
    </row>
    <row r="10">
      <c r="A10" t="inlineStr">
        <is>
          <t>E-1009</t>
        </is>
      </c>
      <c r="B10" t="inlineStr">
        <is>
          <t>Gus</t>
        </is>
      </c>
      <c r="C10" t="inlineStr">
        <is>
          <t>Weiss</t>
        </is>
      </c>
      <c r="D10" t="inlineStr">
        <is>
          <t>Facilities</t>
        </is>
      </c>
      <c r="E10" t="inlineStr">
        <is>
          <t>Facilities Manager</t>
        </is>
      </c>
      <c r="F10" t="inlineStr">
        <is>
          <t>E-1000</t>
        </is>
      </c>
      <c r="G10" s="11" t="n">
        <v>43877</v>
      </c>
      <c r="H10" t="inlineStr">
        <is>
          <t>B-59802</t>
        </is>
      </c>
      <c r="I10" s="13" t="inlineStr">
        <is>
          <t>7375</t>
        </is>
      </c>
    </row>
    <row r="11">
      <c r="A11" t="inlineStr">
        <is>
          <t>E-1010</t>
        </is>
      </c>
      <c r="B11" t="inlineStr">
        <is>
          <t>Femi</t>
        </is>
      </c>
      <c r="C11" t="inlineStr">
        <is>
          <t>Frost</t>
        </is>
      </c>
      <c r="D11" t="inlineStr">
        <is>
          <t>Operations</t>
        </is>
      </c>
      <c r="E11" t="inlineStr">
        <is>
          <t>Office Manager</t>
        </is>
      </c>
      <c r="F11" t="inlineStr">
        <is>
          <t>E-1001</t>
        </is>
      </c>
      <c r="G11" s="11" t="n">
        <v>45356</v>
      </c>
      <c r="H11" t="inlineStr">
        <is>
          <t>B-81155</t>
        </is>
      </c>
      <c r="I11" s="13" t="inlineStr">
        <is>
          <t>9365</t>
        </is>
      </c>
    </row>
    <row r="12">
      <c r="A12" t="inlineStr">
        <is>
          <t>E-1011</t>
        </is>
      </c>
      <c r="B12" t="inlineStr">
        <is>
          <t>Sam</t>
        </is>
      </c>
      <c r="C12" t="inlineStr">
        <is>
          <t>Yilmaz</t>
        </is>
      </c>
      <c r="D12" t="inlineStr">
        <is>
          <t>Engineering</t>
        </is>
      </c>
      <c r="E12" t="inlineStr">
        <is>
          <t>SRE</t>
        </is>
      </c>
      <c r="F12" t="inlineStr">
        <is>
          <t>E-1004</t>
        </is>
      </c>
      <c r="G12" s="11" t="n">
        <v>44480</v>
      </c>
      <c r="H12" t="inlineStr">
        <is>
          <t>B-88106</t>
        </is>
      </c>
      <c r="I12" s="13" t="inlineStr">
        <is>
          <t>3391</t>
        </is>
      </c>
    </row>
    <row r="13">
      <c r="A13" t="inlineStr">
        <is>
          <t>E-1012</t>
        </is>
      </c>
      <c r="B13" t="inlineStr">
        <is>
          <t>Ben</t>
        </is>
      </c>
      <c r="C13" t="inlineStr">
        <is>
          <t>Quint</t>
        </is>
      </c>
      <c r="D13" t="inlineStr">
        <is>
          <t>Sales</t>
        </is>
      </c>
      <c r="E13" t="inlineStr">
        <is>
          <t>Sales Manager</t>
        </is>
      </c>
      <c r="F13" t="inlineStr">
        <is>
          <t>E-1005</t>
        </is>
      </c>
      <c r="G13" s="11" t="n">
        <v>43427</v>
      </c>
      <c r="H13" t="inlineStr">
        <is>
          <t>B-80138</t>
        </is>
      </c>
      <c r="I13" s="13" t="inlineStr">
        <is>
          <t>9801</t>
        </is>
      </c>
    </row>
    <row r="14">
      <c r="A14" t="inlineStr">
        <is>
          <t>E-1013</t>
        </is>
      </c>
      <c r="B14" t="inlineStr">
        <is>
          <t>Dana</t>
        </is>
      </c>
      <c r="C14" t="inlineStr">
        <is>
          <t>Whitfield</t>
        </is>
      </c>
      <c r="D14" t="inlineStr">
        <is>
          <t>Sales</t>
        </is>
      </c>
      <c r="E14" t="inlineStr">
        <is>
          <t>Account Executive</t>
        </is>
      </c>
      <c r="F14" t="inlineStr">
        <is>
          <t>E-1005</t>
        </is>
      </c>
      <c r="G14" s="11" t="n">
        <v>45109</v>
      </c>
      <c r="H14" t="inlineStr">
        <is>
          <t>B-29110</t>
        </is>
      </c>
      <c r="I14" s="13" t="inlineStr">
        <is>
          <t>4471</t>
        </is>
      </c>
    </row>
    <row r="15">
      <c r="A15" t="inlineStr">
        <is>
          <t>E-1014</t>
        </is>
      </c>
      <c r="B15" t="inlineStr">
        <is>
          <t>Bea</t>
        </is>
      </c>
      <c r="C15" t="inlineStr">
        <is>
          <t>Novak</t>
        </is>
      </c>
      <c r="D15" t="inlineStr">
        <is>
          <t>Marketing</t>
        </is>
      </c>
      <c r="E15" t="inlineStr">
        <is>
          <t>Designer</t>
        </is>
      </c>
      <c r="F15" t="inlineStr">
        <is>
          <t>E-1007</t>
        </is>
      </c>
      <c r="G15" s="11" t="n">
        <v>42326</v>
      </c>
      <c r="H15" t="inlineStr">
        <is>
          <t>B-45623</t>
        </is>
      </c>
      <c r="I15" s="13" t="inlineStr">
        <is>
          <t>2840</t>
        </is>
      </c>
    </row>
    <row r="16">
      <c r="A16" t="inlineStr">
        <is>
          <t>E-1015</t>
        </is>
      </c>
      <c r="B16" t="inlineStr">
        <is>
          <t>Jade</t>
        </is>
      </c>
      <c r="C16" t="inlineStr">
        <is>
          <t>Brandt</t>
        </is>
      </c>
      <c r="D16" t="inlineStr">
        <is>
          <t>People</t>
        </is>
      </c>
      <c r="E16" t="inlineStr">
        <is>
          <t>HR Partner</t>
        </is>
      </c>
      <c r="F16" t="inlineStr">
        <is>
          <t>E-1003</t>
        </is>
      </c>
      <c r="G16" s="11" t="n">
        <v>45763</v>
      </c>
      <c r="H16" t="inlineStr">
        <is>
          <t>B-26316</t>
        </is>
      </c>
      <c r="I16" s="13" t="inlineStr">
        <is>
          <t>7402</t>
        </is>
      </c>
    </row>
    <row r="17">
      <c r="A17" t="inlineStr">
        <is>
          <t>E-1016</t>
        </is>
      </c>
      <c r="B17" t="inlineStr">
        <is>
          <t>Bea</t>
        </is>
      </c>
      <c r="C17" t="inlineStr">
        <is>
          <t>Costa</t>
        </is>
      </c>
      <c r="D17" t="inlineStr">
        <is>
          <t>People</t>
        </is>
      </c>
      <c r="E17" t="inlineStr">
        <is>
          <t>Recruiter</t>
        </is>
      </c>
      <c r="F17" t="inlineStr">
        <is>
          <t>E-1003</t>
        </is>
      </c>
      <c r="G17" s="11" t="n">
        <v>45907</v>
      </c>
      <c r="H17" t="inlineStr">
        <is>
          <t>B-22683</t>
        </is>
      </c>
      <c r="I17" s="13" t="inlineStr">
        <is>
          <t>2115</t>
        </is>
      </c>
    </row>
    <row r="18">
      <c r="A18" t="inlineStr">
        <is>
          <t>E-1017</t>
        </is>
      </c>
      <c r="B18" t="inlineStr">
        <is>
          <t>Zoe</t>
        </is>
      </c>
      <c r="C18" t="inlineStr">
        <is>
          <t>Diaz</t>
        </is>
      </c>
      <c r="D18" t="inlineStr">
        <is>
          <t>Sales</t>
        </is>
      </c>
      <c r="E18" t="inlineStr">
        <is>
          <t>Sales Manager</t>
        </is>
      </c>
      <c r="F18" t="inlineStr">
        <is>
          <t>E-1005</t>
        </is>
      </c>
      <c r="G18" s="11" t="n">
        <v>43067</v>
      </c>
      <c r="H18" t="inlineStr">
        <is>
          <t>B-87744</t>
        </is>
      </c>
      <c r="I18" s="13" t="inlineStr">
        <is>
          <t>2256</t>
        </is>
      </c>
    </row>
    <row r="19">
      <c r="A19" t="inlineStr">
        <is>
          <t>E-1018</t>
        </is>
      </c>
      <c r="B19" t="inlineStr">
        <is>
          <t>Kofi</t>
        </is>
      </c>
      <c r="C19" t="inlineStr">
        <is>
          <t>Zielinski</t>
        </is>
      </c>
      <c r="D19" t="inlineStr">
        <is>
          <t>Operations</t>
        </is>
      </c>
      <c r="E19" t="inlineStr">
        <is>
          <t>Procurement Lead</t>
        </is>
      </c>
      <c r="F19" t="inlineStr">
        <is>
          <t>E-1001</t>
        </is>
      </c>
      <c r="G19" s="11" t="n">
        <v>43664</v>
      </c>
      <c r="H19" t="inlineStr">
        <is>
          <t>B-44380</t>
        </is>
      </c>
      <c r="I19" s="13" t="inlineStr">
        <is>
          <t>6389</t>
        </is>
      </c>
    </row>
    <row r="20">
      <c r="A20" t="inlineStr">
        <is>
          <t>E-1019</t>
        </is>
      </c>
      <c r="B20" t="inlineStr">
        <is>
          <t>Ben</t>
        </is>
      </c>
      <c r="C20" t="inlineStr">
        <is>
          <t>Gallo</t>
        </is>
      </c>
      <c r="D20" t="inlineStr">
        <is>
          <t>Engineering</t>
        </is>
      </c>
      <c r="E20" t="inlineStr">
        <is>
          <t>Engineering Manager</t>
        </is>
      </c>
      <c r="F20" t="inlineStr">
        <is>
          <t>E-1004</t>
        </is>
      </c>
      <c r="G20" s="11" t="n">
        <v>44322</v>
      </c>
      <c r="H20" t="inlineStr">
        <is>
          <t>B-74275</t>
        </is>
      </c>
      <c r="I20" s="13" t="inlineStr">
        <is>
          <t>1288</t>
        </is>
      </c>
    </row>
    <row r="21">
      <c r="A21" t="inlineStr">
        <is>
          <t>E-1020</t>
        </is>
      </c>
      <c r="B21" t="inlineStr">
        <is>
          <t>Dev</t>
        </is>
      </c>
      <c r="C21" t="inlineStr">
        <is>
          <t>Diaz</t>
        </is>
      </c>
      <c r="D21" t="inlineStr">
        <is>
          <t>Facilities</t>
        </is>
      </c>
      <c r="E21" t="inlineStr">
        <is>
          <t>Facilities Technician</t>
        </is>
      </c>
      <c r="F21" t="inlineStr">
        <is>
          <t>E-1009</t>
        </is>
      </c>
      <c r="G21" s="11" t="n">
        <v>43693</v>
      </c>
      <c r="H21" t="inlineStr">
        <is>
          <t>B-65097</t>
        </is>
      </c>
      <c r="I21" s="13" t="inlineStr">
        <is>
          <t>2862</t>
        </is>
      </c>
    </row>
    <row r="22">
      <c r="A22" t="inlineStr">
        <is>
          <t>E-1021</t>
        </is>
      </c>
      <c r="B22" t="inlineStr">
        <is>
          <t>Bea</t>
        </is>
      </c>
      <c r="C22" t="inlineStr">
        <is>
          <t>Zielinski</t>
        </is>
      </c>
      <c r="D22" t="inlineStr">
        <is>
          <t>Engineering</t>
        </is>
      </c>
      <c r="E22" t="inlineStr">
        <is>
          <t>QA Engineer</t>
        </is>
      </c>
      <c r="F22" t="inlineStr">
        <is>
          <t>E-1004</t>
        </is>
      </c>
      <c r="G22" s="11" t="n">
        <v>44631</v>
      </c>
      <c r="H22" t="inlineStr">
        <is>
          <t>B-74491</t>
        </is>
      </c>
      <c r="I22" s="13" t="inlineStr">
        <is>
          <t>4713</t>
        </is>
      </c>
    </row>
    <row r="23">
      <c r="A23" t="inlineStr">
        <is>
          <t>E-1022</t>
        </is>
      </c>
      <c r="B23" t="inlineStr">
        <is>
          <t>Olga</t>
        </is>
      </c>
      <c r="C23" t="inlineStr">
        <is>
          <t>Silva</t>
        </is>
      </c>
      <c r="D23" t="inlineStr">
        <is>
          <t>Facilities</t>
        </is>
      </c>
      <c r="E23" t="inlineStr">
        <is>
          <t>Facilities Manager</t>
        </is>
      </c>
      <c r="F23" t="inlineStr">
        <is>
          <t>E-1009</t>
        </is>
      </c>
      <c r="G23" s="11" t="n">
        <v>44609</v>
      </c>
      <c r="H23" t="inlineStr">
        <is>
          <t>B-88070</t>
        </is>
      </c>
      <c r="I23" s="13" t="inlineStr">
        <is>
          <t>7897</t>
        </is>
      </c>
    </row>
    <row r="24">
      <c r="A24" t="inlineStr">
        <is>
          <t>E-1023</t>
        </is>
      </c>
      <c r="B24" t="inlineStr">
        <is>
          <t>Eli</t>
        </is>
      </c>
      <c r="C24" t="inlineStr">
        <is>
          <t>Engel</t>
        </is>
      </c>
      <c r="D24" t="inlineStr">
        <is>
          <t>Sales</t>
        </is>
      </c>
      <c r="E24" t="inlineStr">
        <is>
          <t>SDR</t>
        </is>
      </c>
      <c r="F24" t="inlineStr">
        <is>
          <t>E-1005</t>
        </is>
      </c>
      <c r="G24" s="11" t="n">
        <v>42468</v>
      </c>
      <c r="H24" t="inlineStr">
        <is>
          <t>B-88773</t>
        </is>
      </c>
      <c r="I24" s="13" t="inlineStr">
        <is>
          <t>4486</t>
        </is>
      </c>
    </row>
    <row r="25">
      <c r="A25" t="inlineStr">
        <is>
          <t>E-1024</t>
        </is>
      </c>
      <c r="B25" t="inlineStr">
        <is>
          <t>Zoe</t>
        </is>
      </c>
      <c r="C25" t="inlineStr">
        <is>
          <t>Kaur</t>
        </is>
      </c>
      <c r="D25" t="inlineStr">
        <is>
          <t>Operations</t>
        </is>
      </c>
      <c r="E25" t="inlineStr">
        <is>
          <t>Procurement Lead</t>
        </is>
      </c>
      <c r="F25" t="inlineStr">
        <is>
          <t>E-1001</t>
        </is>
      </c>
      <c r="G25" s="11" t="n">
        <v>44876</v>
      </c>
      <c r="H25" t="inlineStr">
        <is>
          <t>B-20643</t>
        </is>
      </c>
      <c r="I25" s="13" t="inlineStr">
        <is>
          <t>1525</t>
        </is>
      </c>
    </row>
    <row r="26">
      <c r="A26" t="inlineStr">
        <is>
          <t>E-1025</t>
        </is>
      </c>
      <c r="B26" t="inlineStr">
        <is>
          <t>Gus</t>
        </is>
      </c>
      <c r="C26" t="inlineStr">
        <is>
          <t>Zielinski</t>
        </is>
      </c>
      <c r="D26" t="inlineStr">
        <is>
          <t>People</t>
        </is>
      </c>
      <c r="E26" t="inlineStr">
        <is>
          <t>Recruiter</t>
        </is>
      </c>
      <c r="F26" t="inlineStr">
        <is>
          <t>E-1003</t>
        </is>
      </c>
      <c r="G26" s="11" t="n">
        <v>45717</v>
      </c>
      <c r="H26" t="inlineStr">
        <is>
          <t>B-73477</t>
        </is>
      </c>
      <c r="I26" s="13" t="inlineStr">
        <is>
          <t>8930</t>
        </is>
      </c>
    </row>
    <row r="27">
      <c r="A27" t="inlineStr">
        <is>
          <t>E-1026</t>
        </is>
      </c>
      <c r="B27" t="inlineStr">
        <is>
          <t>Bea</t>
        </is>
      </c>
      <c r="C27" t="inlineStr">
        <is>
          <t>Lindqvist</t>
        </is>
      </c>
      <c r="D27" t="inlineStr">
        <is>
          <t>Sales</t>
        </is>
      </c>
      <c r="E27" t="inlineStr">
        <is>
          <t>Sales Manager</t>
        </is>
      </c>
      <c r="F27" t="inlineStr">
        <is>
          <t>E-1005</t>
        </is>
      </c>
      <c r="G27" s="11" t="n">
        <v>44096</v>
      </c>
      <c r="H27" t="inlineStr">
        <is>
          <t>B-66130</t>
        </is>
      </c>
      <c r="I27" s="13" t="inlineStr">
        <is>
          <t>2568</t>
        </is>
      </c>
    </row>
    <row r="28">
      <c r="A28" t="inlineStr">
        <is>
          <t>E-1027</t>
        </is>
      </c>
      <c r="B28" t="inlineStr">
        <is>
          <t>Gavin</t>
        </is>
      </c>
      <c r="C28" t="inlineStr">
        <is>
          <t>Reyes</t>
        </is>
      </c>
      <c r="D28" t="inlineStr">
        <is>
          <t>Finance</t>
        </is>
      </c>
      <c r="E28" t="inlineStr">
        <is>
          <t>AP Specialist</t>
        </is>
      </c>
      <c r="F28" t="inlineStr">
        <is>
          <t>E-1000</t>
        </is>
      </c>
      <c r="G28" s="11" t="n">
        <v>42666</v>
      </c>
      <c r="H28" t="inlineStr">
        <is>
          <t>B-48382</t>
        </is>
      </c>
      <c r="I28" s="13" t="inlineStr">
        <is>
          <t>4471</t>
        </is>
      </c>
    </row>
    <row r="29">
      <c r="A29" t="inlineStr">
        <is>
          <t>E-1028</t>
        </is>
      </c>
      <c r="B29" t="inlineStr">
        <is>
          <t>Aisha</t>
        </is>
      </c>
      <c r="C29" t="inlineStr">
        <is>
          <t>Duarte</t>
        </is>
      </c>
      <c r="D29" t="inlineStr">
        <is>
          <t>Engineering</t>
        </is>
      </c>
      <c r="E29" t="inlineStr">
        <is>
          <t>QA Engineer</t>
        </is>
      </c>
      <c r="F29" t="inlineStr">
        <is>
          <t>E-1004</t>
        </is>
      </c>
      <c r="G29" s="11" t="n">
        <v>45633</v>
      </c>
      <c r="H29" t="inlineStr">
        <is>
          <t>B-56762</t>
        </is>
      </c>
      <c r="I29" s="13" t="inlineStr">
        <is>
          <t>9106</t>
        </is>
      </c>
    </row>
    <row r="30">
      <c r="A30" t="inlineStr">
        <is>
          <t>E-1029</t>
        </is>
      </c>
      <c r="B30" t="inlineStr">
        <is>
          <t>Hana</t>
        </is>
      </c>
      <c r="C30" t="inlineStr">
        <is>
          <t>Brandt</t>
        </is>
      </c>
      <c r="D30" t="inlineStr">
        <is>
          <t>Sales</t>
        </is>
      </c>
      <c r="E30" t="inlineStr">
        <is>
          <t>Account Executive</t>
        </is>
      </c>
      <c r="F30" t="inlineStr">
        <is>
          <t>E-1005</t>
        </is>
      </c>
      <c r="G30" s="11" t="n">
        <v>43787</v>
      </c>
      <c r="H30" t="inlineStr">
        <is>
          <t>B-58626</t>
        </is>
      </c>
      <c r="I30" s="13" t="inlineStr">
        <is>
          <t>9221</t>
        </is>
      </c>
    </row>
    <row r="31">
      <c r="A31" t="inlineStr">
        <is>
          <t>E-1030</t>
        </is>
      </c>
      <c r="B31" t="inlineStr">
        <is>
          <t>Quinn</t>
        </is>
      </c>
      <c r="C31" t="inlineStr">
        <is>
          <t>Brandt</t>
        </is>
      </c>
      <c r="D31" t="inlineStr">
        <is>
          <t>Marketing</t>
        </is>
      </c>
      <c r="E31" t="inlineStr">
        <is>
          <t>Designer</t>
        </is>
      </c>
      <c r="F31" t="inlineStr">
        <is>
          <t>E-1007</t>
        </is>
      </c>
      <c r="G31" s="11" t="n">
        <v>43510</v>
      </c>
      <c r="H31" t="inlineStr">
        <is>
          <t>B-37382</t>
        </is>
      </c>
      <c r="I31" s="13" t="inlineStr">
        <is>
          <t>1662</t>
        </is>
      </c>
    </row>
    <row r="32">
      <c r="A32" t="inlineStr">
        <is>
          <t>E-1031</t>
        </is>
      </c>
      <c r="B32" t="inlineStr">
        <is>
          <t>Fay</t>
        </is>
      </c>
      <c r="C32" t="inlineStr">
        <is>
          <t>Varga</t>
        </is>
      </c>
      <c r="D32" t="inlineStr">
        <is>
          <t>Operations</t>
        </is>
      </c>
      <c r="E32" t="inlineStr">
        <is>
          <t>Procurement Lead</t>
        </is>
      </c>
      <c r="F32" t="inlineStr">
        <is>
          <t>E-1001</t>
        </is>
      </c>
      <c r="G32" s="11" t="n">
        <v>45682</v>
      </c>
      <c r="H32" t="inlineStr">
        <is>
          <t>B-42449</t>
        </is>
      </c>
      <c r="I32" s="13" t="inlineStr">
        <is>
          <t>1737</t>
        </is>
      </c>
    </row>
    <row r="33">
      <c r="A33" t="inlineStr">
        <is>
          <t>E-1032</t>
        </is>
      </c>
      <c r="B33" t="inlineStr">
        <is>
          <t>Carla</t>
        </is>
      </c>
      <c r="C33" t="inlineStr">
        <is>
          <t>Ivanova</t>
        </is>
      </c>
      <c r="D33" t="inlineStr">
        <is>
          <t>Sales</t>
        </is>
      </c>
      <c r="E33" t="inlineStr">
        <is>
          <t>Sales Manager</t>
        </is>
      </c>
      <c r="F33" t="inlineStr">
        <is>
          <t>E-1005</t>
        </is>
      </c>
      <c r="G33" s="11" t="n">
        <v>45965</v>
      </c>
      <c r="H33" t="inlineStr">
        <is>
          <t>B-66694</t>
        </is>
      </c>
      <c r="I33" s="13" t="inlineStr">
        <is>
          <t>3039</t>
        </is>
      </c>
    </row>
    <row r="34">
      <c r="A34" t="inlineStr">
        <is>
          <t>E-1033</t>
        </is>
      </c>
      <c r="B34" t="inlineStr">
        <is>
          <t>Grace</t>
        </is>
      </c>
      <c r="C34" t="inlineStr">
        <is>
          <t>Walsh</t>
        </is>
      </c>
      <c r="D34" t="inlineStr">
        <is>
          <t>Facilities</t>
        </is>
      </c>
      <c r="E34" t="inlineStr">
        <is>
          <t>Facilities Manager</t>
        </is>
      </c>
      <c r="F34" t="inlineStr">
        <is>
          <t>E-1009</t>
        </is>
      </c>
      <c r="G34" s="11" t="n">
        <v>43765</v>
      </c>
      <c r="H34" t="inlineStr">
        <is>
          <t>B-86404</t>
        </is>
      </c>
      <c r="I34" s="13" t="inlineStr">
        <is>
          <t>5137</t>
        </is>
      </c>
    </row>
    <row r="35">
      <c r="A35" t="inlineStr">
        <is>
          <t>E-1034</t>
        </is>
      </c>
      <c r="B35" t="inlineStr">
        <is>
          <t>Cole</t>
        </is>
      </c>
      <c r="C35" t="inlineStr">
        <is>
          <t>Haddad</t>
        </is>
      </c>
      <c r="D35" t="inlineStr">
        <is>
          <t>Marketing</t>
        </is>
      </c>
      <c r="E35" t="inlineStr">
        <is>
          <t>Designer</t>
        </is>
      </c>
      <c r="F35" t="inlineStr">
        <is>
          <t>E-1007</t>
        </is>
      </c>
      <c r="G35" s="11" t="n">
        <v>43899</v>
      </c>
      <c r="H35" t="inlineStr">
        <is>
          <t>B-28377</t>
        </is>
      </c>
      <c r="I35" s="13" t="inlineStr">
        <is>
          <t>4768</t>
        </is>
      </c>
    </row>
    <row r="36">
      <c r="A36" t="inlineStr">
        <is>
          <t>E-1035</t>
        </is>
      </c>
      <c r="B36" t="inlineStr">
        <is>
          <t>Eli</t>
        </is>
      </c>
      <c r="C36" t="inlineStr">
        <is>
          <t>Weiss</t>
        </is>
      </c>
      <c r="D36" t="inlineStr">
        <is>
          <t>Facilities</t>
        </is>
      </c>
      <c r="E36" t="inlineStr">
        <is>
          <t>Facilities Manager</t>
        </is>
      </c>
      <c r="F36" t="inlineStr">
        <is>
          <t>E-1009</t>
        </is>
      </c>
      <c r="G36" s="11" t="n">
        <v>42213</v>
      </c>
      <c r="H36" t="inlineStr">
        <is>
          <t>B-53570</t>
        </is>
      </c>
      <c r="I36" s="13" t="inlineStr">
        <is>
          <t>1030</t>
        </is>
      </c>
    </row>
    <row r="37">
      <c r="A37" t="inlineStr">
        <is>
          <t>E-1036</t>
        </is>
      </c>
      <c r="B37" t="inlineStr">
        <is>
          <t>Fay</t>
        </is>
      </c>
      <c r="C37" t="inlineStr">
        <is>
          <t>Quint</t>
        </is>
      </c>
      <c r="D37" t="inlineStr">
        <is>
          <t>Finance</t>
        </is>
      </c>
      <c r="E37" t="inlineStr">
        <is>
          <t>Financial Analyst</t>
        </is>
      </c>
      <c r="F37" t="inlineStr">
        <is>
          <t>E-1027</t>
        </is>
      </c>
      <c r="G37" s="11" t="n">
        <v>42008</v>
      </c>
      <c r="H37" t="inlineStr">
        <is>
          <t>B-53691</t>
        </is>
      </c>
      <c r="I37" s="13" t="inlineStr">
        <is>
          <t>6791</t>
        </is>
      </c>
    </row>
    <row r="38">
      <c r="A38" t="inlineStr">
        <is>
          <t>E-1037</t>
        </is>
      </c>
      <c r="B38" t="inlineStr">
        <is>
          <t>Arjun</t>
        </is>
      </c>
      <c r="C38" t="inlineStr">
        <is>
          <t>Tanaka</t>
        </is>
      </c>
      <c r="D38" t="inlineStr">
        <is>
          <t>Marketing</t>
        </is>
      </c>
      <c r="E38" t="inlineStr">
        <is>
          <t>Marketing Manager</t>
        </is>
      </c>
      <c r="F38" t="inlineStr">
        <is>
          <t>E-1007</t>
        </is>
      </c>
      <c r="G38" s="11" t="n">
        <v>43500</v>
      </c>
      <c r="H38" t="inlineStr">
        <is>
          <t>B-50831</t>
        </is>
      </c>
      <c r="I38" s="13" t="inlineStr">
        <is>
          <t>0376</t>
        </is>
      </c>
    </row>
    <row r="39">
      <c r="A39" t="inlineStr">
        <is>
          <t>E-1038</t>
        </is>
      </c>
      <c r="B39" t="inlineStr">
        <is>
          <t>Femi</t>
        </is>
      </c>
      <c r="C39" t="inlineStr">
        <is>
          <t>Okafor</t>
        </is>
      </c>
      <c r="D39" t="inlineStr">
        <is>
          <t>Marketing</t>
        </is>
      </c>
      <c r="E39" t="inlineStr">
        <is>
          <t>Designer</t>
        </is>
      </c>
      <c r="F39" t="inlineStr">
        <is>
          <t>E-1007</t>
        </is>
      </c>
      <c r="G39" s="11" t="n">
        <v>44855</v>
      </c>
      <c r="H39" t="inlineStr">
        <is>
          <t>B-65915</t>
        </is>
      </c>
      <c r="I39" s="13" t="inlineStr">
        <is>
          <t>5160</t>
        </is>
      </c>
    </row>
    <row r="40">
      <c r="A40" t="inlineStr">
        <is>
          <t>E-1039</t>
        </is>
      </c>
      <c r="B40" t="inlineStr">
        <is>
          <t>Ivan</t>
        </is>
      </c>
      <c r="C40" t="inlineStr">
        <is>
          <t>Novak</t>
        </is>
      </c>
      <c r="D40" t="inlineStr">
        <is>
          <t>Operations</t>
        </is>
      </c>
      <c r="E40" t="inlineStr">
        <is>
          <t>Ops Manager</t>
        </is>
      </c>
      <c r="F40" t="inlineStr">
        <is>
          <t>E-1001</t>
        </is>
      </c>
      <c r="G40" s="11" t="n">
        <v>44111</v>
      </c>
      <c r="H40" t="inlineStr">
        <is>
          <t>B-24982</t>
        </is>
      </c>
      <c r="I40" s="13" t="inlineStr">
        <is>
          <t>6622</t>
        </is>
      </c>
    </row>
    <row r="41">
      <c r="A41" t="inlineStr">
        <is>
          <t>E-1040</t>
        </is>
      </c>
      <c r="B41" t="inlineStr">
        <is>
          <t>Priya</t>
        </is>
      </c>
      <c r="C41" t="inlineStr">
        <is>
          <t>Silva</t>
        </is>
      </c>
      <c r="D41" t="inlineStr">
        <is>
          <t>Operations</t>
        </is>
      </c>
      <c r="E41" t="inlineStr">
        <is>
          <t>Ops Manager</t>
        </is>
      </c>
      <c r="F41" t="inlineStr">
        <is>
          <t>E-1001</t>
        </is>
      </c>
      <c r="G41" s="11" t="n">
        <v>45710</v>
      </c>
      <c r="H41" t="inlineStr">
        <is>
          <t>B-80643</t>
        </is>
      </c>
      <c r="I41" s="13" t="inlineStr">
        <is>
          <t>6981</t>
        </is>
      </c>
    </row>
  </sheetData>
  <autoFilter ref="A1:I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8" customWidth="1" min="5" max="5"/>
  </cols>
  <sheetData>
    <row r="1">
      <c r="A1" s="10" t="inlineStr">
        <is>
          <t>Badge ID</t>
        </is>
      </c>
      <c r="B1" s="10" t="inlineStr">
        <is>
          <t>Date</t>
        </is>
      </c>
      <c r="C1" s="10" t="inlineStr">
        <is>
          <t>Time in</t>
        </is>
      </c>
      <c r="D1" s="10" t="inlineStr">
        <is>
          <t>Time out</t>
        </is>
      </c>
      <c r="E1" s="10" t="inlineStr">
        <is>
          <t>Door</t>
        </is>
      </c>
    </row>
    <row r="2">
      <c r="A2" t="inlineStr">
        <is>
          <t>B-44380</t>
        </is>
      </c>
      <c r="B2" s="11" t="n">
        <v>46197</v>
      </c>
      <c r="C2" s="15" t="n">
        <v>0.2993055555555555</v>
      </c>
      <c r="D2" s="15" t="n">
        <v>0.7111111111111111</v>
      </c>
      <c r="E2" t="inlineStr">
        <is>
          <t>HQ-G Ops</t>
        </is>
      </c>
    </row>
    <row r="3">
      <c r="A3" t="inlineStr">
        <is>
          <t>B-74759</t>
        </is>
      </c>
      <c r="B3" s="11" t="n">
        <v>46197</v>
      </c>
      <c r="C3" s="15" t="n">
        <v>0.3090277777777778</v>
      </c>
      <c r="D3" s="15" t="n">
        <v>0.6118055555555556</v>
      </c>
      <c r="E3" t="inlineStr">
        <is>
          <t>HQ-2F Eng</t>
        </is>
      </c>
    </row>
    <row r="4">
      <c r="A4" t="inlineStr">
        <is>
          <t>B-28377</t>
        </is>
      </c>
      <c r="B4" s="11" t="n">
        <v>46197</v>
      </c>
      <c r="C4" s="15" t="n">
        <v>0.3138888888888889</v>
      </c>
      <c r="D4" s="15" t="n">
        <v>0.6375</v>
      </c>
      <c r="E4" t="inlineStr">
        <is>
          <t>HQ-1F Sales</t>
        </is>
      </c>
    </row>
    <row r="5">
      <c r="A5" t="inlineStr">
        <is>
          <t>B-45623</t>
        </is>
      </c>
      <c r="B5" s="11" t="n">
        <v>46197</v>
      </c>
      <c r="C5" s="15" t="n">
        <v>0.3631944444444444</v>
      </c>
      <c r="D5" s="15" t="n">
        <v>0.7361111111111112</v>
      </c>
      <c r="E5" t="inlineStr">
        <is>
          <t>HQ-1F Sales</t>
        </is>
      </c>
    </row>
    <row r="6">
      <c r="A6" t="inlineStr">
        <is>
          <t>B-29110</t>
        </is>
      </c>
      <c r="B6" s="11" t="n">
        <v>46197</v>
      </c>
      <c r="C6" s="15" t="n">
        <v>0.3694444444444445</v>
      </c>
      <c r="D6" s="15" t="n">
        <v>0.7743055555555556</v>
      </c>
      <c r="E6" t="inlineStr">
        <is>
          <t>HQ-1F Sales</t>
        </is>
      </c>
    </row>
    <row r="7">
      <c r="A7" t="inlineStr">
        <is>
          <t>B-65097</t>
        </is>
      </c>
      <c r="B7" s="11" t="n">
        <v>46197</v>
      </c>
      <c r="C7" s="15" t="n">
        <v>0.3715277777777778</v>
      </c>
      <c r="D7" s="15" t="n">
        <v>0.7027777777777777</v>
      </c>
      <c r="E7" t="inlineStr">
        <is>
          <t>HQ-B1 Plant</t>
        </is>
      </c>
    </row>
    <row r="8">
      <c r="A8" t="inlineStr">
        <is>
          <t>B-88106</t>
        </is>
      </c>
      <c r="B8" s="11" t="n">
        <v>46197</v>
      </c>
      <c r="C8" s="15" t="n">
        <v>0.3736111111111111</v>
      </c>
      <c r="D8" s="15" t="n">
        <v>0.7875</v>
      </c>
      <c r="E8" t="inlineStr">
        <is>
          <t>HQ-2F Eng</t>
        </is>
      </c>
    </row>
    <row r="9">
      <c r="A9" t="inlineStr">
        <is>
          <t>B-53691</t>
        </is>
      </c>
      <c r="B9" s="11" t="n">
        <v>46197</v>
      </c>
      <c r="C9" s="15" t="n">
        <v>0.3868055555555556</v>
      </c>
      <c r="D9" s="15" t="n">
        <v>0.7791666666666667</v>
      </c>
      <c r="E9" t="inlineStr">
        <is>
          <t>HQ-3F Finance</t>
        </is>
      </c>
    </row>
    <row r="10">
      <c r="A10" t="inlineStr">
        <is>
          <t>B-84485</t>
        </is>
      </c>
      <c r="B10" s="11" t="n">
        <v>46197</v>
      </c>
      <c r="C10" s="15" t="n">
        <v>0.3888888888888889</v>
      </c>
      <c r="D10" s="15" t="n">
        <v>0.7368055555555556</v>
      </c>
      <c r="E10" t="inlineStr">
        <is>
          <t>HQ-G Ops</t>
        </is>
      </c>
    </row>
    <row r="11">
      <c r="A11" t="inlineStr">
        <is>
          <t>B-86404</t>
        </is>
      </c>
      <c r="B11" s="11" t="n">
        <v>46197</v>
      </c>
      <c r="C11" s="15" t="n">
        <v>0.3909722222222222</v>
      </c>
      <c r="D11" s="15" t="n">
        <v>0.7527777777777778</v>
      </c>
      <c r="E11" t="inlineStr">
        <is>
          <t>HQ-B1 Plant</t>
        </is>
      </c>
    </row>
    <row r="12">
      <c r="A12" t="inlineStr">
        <is>
          <t>B-37198</t>
        </is>
      </c>
      <c r="B12" s="11" t="n">
        <v>46197</v>
      </c>
      <c r="C12" s="15" t="n">
        <v>0.3993055555555556</v>
      </c>
      <c r="D12" s="15" t="n">
        <v>0.7381944444444445</v>
      </c>
      <c r="E12" t="inlineStr">
        <is>
          <t>HQ-G Ops</t>
        </is>
      </c>
    </row>
    <row r="13">
      <c r="A13" t="inlineStr">
        <is>
          <t>B-87744</t>
        </is>
      </c>
      <c r="B13" s="11" t="n">
        <v>46197</v>
      </c>
      <c r="C13" s="15" t="n">
        <v>0.4111111111111111</v>
      </c>
      <c r="D13" s="15" t="n">
        <v>0.7868055555555555</v>
      </c>
      <c r="E13" t="inlineStr">
        <is>
          <t>HQ-1F Sales</t>
        </is>
      </c>
    </row>
    <row r="14">
      <c r="A14" t="inlineStr">
        <is>
          <t>B-24982</t>
        </is>
      </c>
      <c r="B14" s="11" t="n">
        <v>46197</v>
      </c>
      <c r="C14" s="15" t="n">
        <v>0.4138888888888889</v>
      </c>
      <c r="D14" s="15" t="n">
        <v>0.8090277777777778</v>
      </c>
      <c r="E14" t="inlineStr">
        <is>
          <t>HQ-G Ops</t>
        </is>
      </c>
    </row>
    <row r="15">
      <c r="A15" t="inlineStr">
        <is>
          <t>B-53570</t>
        </is>
      </c>
      <c r="B15" s="11" t="n">
        <v>46197</v>
      </c>
      <c r="C15" s="15" t="n">
        <v>0.4229166666666667</v>
      </c>
      <c r="D15" s="15" t="n">
        <v>0.8097222222222222</v>
      </c>
      <c r="E15" t="inlineStr">
        <is>
          <t>HQ-B1 Plant</t>
        </is>
      </c>
    </row>
    <row r="16">
      <c r="A16" t="inlineStr">
        <is>
          <t>B-23380</t>
        </is>
      </c>
      <c r="B16" s="11" t="n">
        <v>46197</v>
      </c>
      <c r="C16" s="15" t="n">
        <v>0.4333333333333333</v>
      </c>
      <c r="D16" s="15" t="n">
        <v>0.8305555555555556</v>
      </c>
      <c r="E16" t="inlineStr">
        <is>
          <t>HQ-G Ops</t>
        </is>
      </c>
    </row>
    <row r="17">
      <c r="A17" t="inlineStr">
        <is>
          <t>B-55197</t>
        </is>
      </c>
      <c r="B17" s="11" t="n">
        <v>46197</v>
      </c>
      <c r="C17" s="15" t="n">
        <v>0.4340277777777778</v>
      </c>
      <c r="D17" s="15" t="n">
        <v>0.7701388888888889</v>
      </c>
      <c r="E17" t="inlineStr">
        <is>
          <t>HQ-G Ops</t>
        </is>
      </c>
    </row>
    <row r="18">
      <c r="A18" t="inlineStr">
        <is>
          <t>B-58626</t>
        </is>
      </c>
      <c r="B18" s="11" t="n">
        <v>46197</v>
      </c>
      <c r="C18" s="15" t="n">
        <v>0.4354166666666667</v>
      </c>
      <c r="D18" s="15" t="n">
        <v>0.7597222222222222</v>
      </c>
      <c r="E18" t="inlineStr">
        <is>
          <t>HQ-1F Sales</t>
        </is>
      </c>
    </row>
    <row r="19">
      <c r="A19" t="inlineStr">
        <is>
          <t>B-20643</t>
        </is>
      </c>
      <c r="B19" s="11" t="n">
        <v>46197</v>
      </c>
      <c r="C19" s="15" t="n">
        <v>0.4381944444444444</v>
      </c>
      <c r="D19" s="15" t="n">
        <v>0.7534722222222222</v>
      </c>
      <c r="E19" t="inlineStr">
        <is>
          <t>HQ-G Ops</t>
        </is>
      </c>
    </row>
    <row r="20">
      <c r="A20" t="inlineStr">
        <is>
          <t>B-74491</t>
        </is>
      </c>
      <c r="B20" s="11" t="n">
        <v>46197</v>
      </c>
      <c r="C20" s="15" t="n">
        <v>0.4388888888888889</v>
      </c>
      <c r="D20" s="15" t="n">
        <v>0.7972222222222223</v>
      </c>
      <c r="E20" t="inlineStr">
        <is>
          <t>HQ-2F Eng</t>
        </is>
      </c>
    </row>
    <row r="21">
      <c r="A21" t="inlineStr">
        <is>
          <t>B-50831</t>
        </is>
      </c>
      <c r="B21" s="11" t="n">
        <v>46197</v>
      </c>
      <c r="C21" s="15" t="n">
        <v>0.4388888888888889</v>
      </c>
      <c r="D21" s="15" t="n">
        <v>0.7805555555555556</v>
      </c>
      <c r="E21" t="inlineStr">
        <is>
          <t>HQ-1F Sales</t>
        </is>
      </c>
    </row>
    <row r="22">
      <c r="A22" t="inlineStr">
        <is>
          <t>B-86545</t>
        </is>
      </c>
      <c r="B22" s="11" t="n">
        <v>46197</v>
      </c>
      <c r="C22" s="15" t="n">
        <v>0.4402777777777778</v>
      </c>
      <c r="D22" s="15" t="n">
        <v>0.7722222222222223</v>
      </c>
      <c r="E22" t="inlineStr">
        <is>
          <t>HQ-1F Sales</t>
        </is>
      </c>
    </row>
    <row r="23">
      <c r="A23" t="inlineStr">
        <is>
          <t>B-42449</t>
        </is>
      </c>
      <c r="B23" s="11" t="n">
        <v>46197</v>
      </c>
      <c r="C23" s="15" t="n">
        <v>0.4402777777777778</v>
      </c>
      <c r="D23" s="15" t="n">
        <v>0.76875</v>
      </c>
      <c r="E23" t="inlineStr">
        <is>
          <t>HQ-G Ops</t>
        </is>
      </c>
    </row>
    <row r="24">
      <c r="A24" t="inlineStr">
        <is>
          <t>B-59802</t>
        </is>
      </c>
      <c r="B24" s="11" t="n">
        <v>46197</v>
      </c>
      <c r="C24" s="15" t="n">
        <v>0.4430555555555555</v>
      </c>
      <c r="D24" s="15" t="n">
        <v>0.8</v>
      </c>
      <c r="E24" t="inlineStr">
        <is>
          <t>HQ-B1 Plant</t>
        </is>
      </c>
    </row>
    <row r="25">
      <c r="A25" t="inlineStr">
        <is>
          <t>B-48382</t>
        </is>
      </c>
      <c r="B25" s="11" t="n">
        <v>46197</v>
      </c>
      <c r="C25" s="15" t="n">
        <v>0.45</v>
      </c>
      <c r="D25" s="15" t="n">
        <v>0.8604166666666667</v>
      </c>
      <c r="E25" t="inlineStr">
        <is>
          <t>HQ-3F Finance</t>
        </is>
      </c>
    </row>
    <row r="26">
      <c r="A26" t="inlineStr">
        <is>
          <t>B-73477</t>
        </is>
      </c>
      <c r="B26" s="11" t="n">
        <v>46197</v>
      </c>
      <c r="C26" s="15" t="n">
        <v>0.4506944444444445</v>
      </c>
      <c r="D26" s="15" t="n">
        <v>0.8305555555555556</v>
      </c>
      <c r="E26" t="inlineStr">
        <is>
          <t>HQ-G Ops</t>
        </is>
      </c>
    </row>
    <row r="27">
      <c r="A27" t="inlineStr">
        <is>
          <t>B-66130</t>
        </is>
      </c>
      <c r="B27" s="11" t="n">
        <v>46197</v>
      </c>
      <c r="C27" s="15" t="n">
        <v>0.4576388888888889</v>
      </c>
      <c r="D27" s="15" t="n">
        <v>0.8076388888888889</v>
      </c>
      <c r="E27" t="inlineStr">
        <is>
          <t>HQ-1F Sales</t>
        </is>
      </c>
    </row>
    <row r="28">
      <c r="A28" t="inlineStr">
        <is>
          <t>B-20643</t>
        </is>
      </c>
      <c r="B28" s="11" t="n">
        <v>46198</v>
      </c>
      <c r="C28" s="15" t="n">
        <v>0.3048611111111111</v>
      </c>
      <c r="D28" s="15" t="n">
        <v>0.6048611111111111</v>
      </c>
      <c r="E28" t="inlineStr">
        <is>
          <t>HQ-G Ops</t>
        </is>
      </c>
    </row>
    <row r="29">
      <c r="A29" t="inlineStr">
        <is>
          <t>B-37198</t>
        </is>
      </c>
      <c r="B29" s="11" t="n">
        <v>46198</v>
      </c>
      <c r="C29" s="15" t="n">
        <v>0.3236111111111111</v>
      </c>
      <c r="D29" s="15" t="n">
        <v>0.6659722222222222</v>
      </c>
      <c r="E29" t="inlineStr">
        <is>
          <t>HQ-G Ops</t>
        </is>
      </c>
    </row>
    <row r="30">
      <c r="A30" t="inlineStr">
        <is>
          <t>B-28377</t>
        </is>
      </c>
      <c r="B30" s="11" t="n">
        <v>46198</v>
      </c>
      <c r="C30" s="15" t="n">
        <v>0.3298611111111111</v>
      </c>
      <c r="D30" s="15" t="n">
        <v>0.6888888888888889</v>
      </c>
      <c r="E30" t="inlineStr">
        <is>
          <t>HQ-1F Sales</t>
        </is>
      </c>
    </row>
    <row r="31">
      <c r="A31" t="inlineStr">
        <is>
          <t>B-48382</t>
        </is>
      </c>
      <c r="B31" s="11" t="n">
        <v>46198</v>
      </c>
      <c r="C31" s="15" t="n">
        <v>0.3388888888888889</v>
      </c>
      <c r="D31" s="15" t="n">
        <v>0.6756944444444445</v>
      </c>
      <c r="E31" t="inlineStr">
        <is>
          <t>HQ-3F Finance</t>
        </is>
      </c>
    </row>
    <row r="32">
      <c r="A32" t="inlineStr">
        <is>
          <t>B-74275</t>
        </is>
      </c>
      <c r="B32" s="11" t="n">
        <v>46198</v>
      </c>
      <c r="C32" s="15" t="n">
        <v>0.3388888888888889</v>
      </c>
      <c r="D32" s="15" t="n">
        <v>0.6340277777777777</v>
      </c>
      <c r="E32" t="inlineStr">
        <is>
          <t>HQ-2F Eng</t>
        </is>
      </c>
    </row>
    <row r="33">
      <c r="A33" t="inlineStr">
        <is>
          <t>B-88106</t>
        </is>
      </c>
      <c r="B33" s="11" t="n">
        <v>46198</v>
      </c>
      <c r="C33" s="15" t="n">
        <v>0.3465277777777778</v>
      </c>
      <c r="D33" s="15" t="n">
        <v>0.675</v>
      </c>
      <c r="E33" t="inlineStr">
        <is>
          <t>HQ-2F Eng</t>
        </is>
      </c>
    </row>
    <row r="34">
      <c r="A34" t="inlineStr">
        <is>
          <t>B-65915</t>
        </is>
      </c>
      <c r="B34" s="11" t="n">
        <v>46198</v>
      </c>
      <c r="C34" s="15" t="n">
        <v>0.3652777777777778</v>
      </c>
      <c r="D34" s="15" t="n">
        <v>0.7104166666666667</v>
      </c>
      <c r="E34" t="inlineStr">
        <is>
          <t>HQ-1F Sales</t>
        </is>
      </c>
    </row>
    <row r="35">
      <c r="A35" t="inlineStr">
        <is>
          <t>B-42449</t>
        </is>
      </c>
      <c r="B35" s="11" t="n">
        <v>46198</v>
      </c>
      <c r="C35" s="15" t="n">
        <v>0.3666666666666666</v>
      </c>
      <c r="D35" s="15" t="n">
        <v>0.7159722222222222</v>
      </c>
      <c r="E35" t="inlineStr">
        <is>
          <t>HQ-G Ops</t>
        </is>
      </c>
    </row>
    <row r="36">
      <c r="A36" t="inlineStr">
        <is>
          <t>B-26316</t>
        </is>
      </c>
      <c r="B36" s="11" t="n">
        <v>46198</v>
      </c>
      <c r="C36" s="15" t="n">
        <v>0.3673611111111111</v>
      </c>
      <c r="D36" s="15" t="n">
        <v>0.78125</v>
      </c>
      <c r="E36" t="inlineStr">
        <is>
          <t>HQ-G Ops</t>
        </is>
      </c>
    </row>
    <row r="37">
      <c r="A37" t="inlineStr">
        <is>
          <t>B-84485</t>
        </is>
      </c>
      <c r="B37" s="11" t="n">
        <v>46198</v>
      </c>
      <c r="C37" s="15" t="n">
        <v>0.3694444444444445</v>
      </c>
      <c r="D37" s="15" t="n">
        <v>0.6861111111111111</v>
      </c>
      <c r="E37" t="inlineStr">
        <is>
          <t>HQ-G Ops</t>
        </is>
      </c>
    </row>
    <row r="38">
      <c r="A38" t="inlineStr">
        <is>
          <t>B-29110</t>
        </is>
      </c>
      <c r="B38" s="11" t="n">
        <v>46198</v>
      </c>
      <c r="C38" s="15" t="n">
        <v>0.3736111111111111</v>
      </c>
      <c r="D38" s="15" t="n">
        <v>0.7576388888888889</v>
      </c>
      <c r="E38" t="inlineStr">
        <is>
          <t>HQ-1F Sales</t>
        </is>
      </c>
    </row>
    <row r="39">
      <c r="A39" t="inlineStr">
        <is>
          <t>B-56762</t>
        </is>
      </c>
      <c r="B39" s="11" t="n">
        <v>46198</v>
      </c>
      <c r="C39" s="15" t="n">
        <v>0.3736111111111111</v>
      </c>
      <c r="D39" s="15" t="n">
        <v>0.7527777777777778</v>
      </c>
      <c r="E39" t="inlineStr">
        <is>
          <t>HQ-2F Eng</t>
        </is>
      </c>
    </row>
    <row r="40">
      <c r="A40" t="inlineStr">
        <is>
          <t>B-86545</t>
        </is>
      </c>
      <c r="B40" s="11" t="n">
        <v>46198</v>
      </c>
      <c r="C40" s="15" t="n">
        <v>0.3979166666666666</v>
      </c>
      <c r="D40" s="15" t="n">
        <v>0.7104166666666667</v>
      </c>
      <c r="E40" t="inlineStr">
        <is>
          <t>HQ-1F Sales</t>
        </is>
      </c>
    </row>
    <row r="41">
      <c r="A41" t="inlineStr">
        <is>
          <t>B-29625</t>
        </is>
      </c>
      <c r="B41" s="11" t="n">
        <v>46198</v>
      </c>
      <c r="C41" s="15" t="n">
        <v>0.4</v>
      </c>
      <c r="D41" s="15" t="n">
        <v>0.7131944444444445</v>
      </c>
      <c r="E41" t="inlineStr">
        <is>
          <t>HQ-1F Sales</t>
        </is>
      </c>
    </row>
    <row r="42">
      <c r="A42" t="inlineStr">
        <is>
          <t>B-86404</t>
        </is>
      </c>
      <c r="B42" s="11" t="n">
        <v>46198</v>
      </c>
      <c r="C42" s="15" t="n">
        <v>0.4</v>
      </c>
      <c r="D42" s="15" t="n">
        <v>0.7305555555555555</v>
      </c>
      <c r="E42" t="inlineStr">
        <is>
          <t>HQ-B1 Plant</t>
        </is>
      </c>
    </row>
    <row r="43">
      <c r="A43" t="inlineStr">
        <is>
          <t>B-58626</t>
        </is>
      </c>
      <c r="B43" s="11" t="n">
        <v>46198</v>
      </c>
      <c r="C43" s="15" t="n">
        <v>0.4055555555555556</v>
      </c>
      <c r="D43" s="15" t="n">
        <v>0.7541666666666667</v>
      </c>
      <c r="E43" t="inlineStr">
        <is>
          <t>HQ-1F Sales</t>
        </is>
      </c>
    </row>
    <row r="44">
      <c r="A44" t="inlineStr">
        <is>
          <t>B-53691</t>
        </is>
      </c>
      <c r="B44" s="11" t="n">
        <v>46198</v>
      </c>
      <c r="C44" s="15" t="n">
        <v>0.4131944444444444</v>
      </c>
      <c r="D44" s="15" t="n">
        <v>0.7097222222222223</v>
      </c>
      <c r="E44" t="inlineStr">
        <is>
          <t>HQ-3F Finance</t>
        </is>
      </c>
    </row>
    <row r="45">
      <c r="A45" t="inlineStr">
        <is>
          <t>B-65097</t>
        </is>
      </c>
      <c r="B45" s="11" t="n">
        <v>46198</v>
      </c>
      <c r="C45" s="15" t="n">
        <v>0.4131944444444444</v>
      </c>
      <c r="D45" s="15" t="n">
        <v>0.7173611111111111</v>
      </c>
      <c r="E45" t="inlineStr">
        <is>
          <t>HQ-B1 Plant</t>
        </is>
      </c>
    </row>
    <row r="46">
      <c r="A46" t="inlineStr">
        <is>
          <t>B-24982</t>
        </is>
      </c>
      <c r="B46" s="11" t="n">
        <v>46198</v>
      </c>
      <c r="C46" s="15" t="n">
        <v>0.4194444444444445</v>
      </c>
      <c r="D46" s="15" t="n">
        <v>0.7729166666666667</v>
      </c>
      <c r="E46" t="inlineStr">
        <is>
          <t>HQ-G Ops</t>
        </is>
      </c>
    </row>
    <row r="47">
      <c r="A47" t="inlineStr">
        <is>
          <t>B-80643</t>
        </is>
      </c>
      <c r="B47" s="11" t="n">
        <v>46198</v>
      </c>
      <c r="C47" s="15" t="n">
        <v>0.425</v>
      </c>
      <c r="D47" s="15" t="n">
        <v>0.7756944444444445</v>
      </c>
      <c r="E47" t="inlineStr">
        <is>
          <t>HQ-G Ops</t>
        </is>
      </c>
    </row>
    <row r="48">
      <c r="A48" t="inlineStr">
        <is>
          <t>B-37382</t>
        </is>
      </c>
      <c r="B48" s="11" t="n">
        <v>46198</v>
      </c>
      <c r="C48" s="15" t="n">
        <v>0.4284722222222222</v>
      </c>
      <c r="D48" s="15" t="n">
        <v>0.7430555555555556</v>
      </c>
      <c r="E48" t="inlineStr">
        <is>
          <t>HQ-1F Sales</t>
        </is>
      </c>
    </row>
    <row r="49">
      <c r="A49" t="inlineStr">
        <is>
          <t>B-66694</t>
        </is>
      </c>
      <c r="B49" s="11" t="n">
        <v>46198</v>
      </c>
      <c r="C49" s="15" t="n">
        <v>0.4368055555555556</v>
      </c>
      <c r="D49" s="15" t="n">
        <v>0.8472222222222222</v>
      </c>
      <c r="E49" t="inlineStr">
        <is>
          <t>HQ-1F Sales</t>
        </is>
      </c>
    </row>
    <row r="50">
      <c r="A50" t="inlineStr">
        <is>
          <t>B-45781</t>
        </is>
      </c>
      <c r="B50" s="11" t="n">
        <v>46198</v>
      </c>
      <c r="C50" s="15" t="n">
        <v>0.4375</v>
      </c>
      <c r="D50" s="15" t="n">
        <v>0.7388888888888889</v>
      </c>
      <c r="E50" t="inlineStr">
        <is>
          <t>HQ-G Ops</t>
        </is>
      </c>
    </row>
    <row r="51">
      <c r="A51" t="inlineStr">
        <is>
          <t>B-87744</t>
        </is>
      </c>
      <c r="B51" s="11" t="n">
        <v>46198</v>
      </c>
      <c r="C51" s="15" t="n">
        <v>0.4423611111111111</v>
      </c>
      <c r="D51" s="15" t="n">
        <v>0.7347222222222223</v>
      </c>
      <c r="E51" t="inlineStr">
        <is>
          <t>HQ-1F Sales</t>
        </is>
      </c>
    </row>
    <row r="52">
      <c r="A52" t="inlineStr">
        <is>
          <t>B-55197</t>
        </is>
      </c>
      <c r="B52" s="11" t="n">
        <v>46198</v>
      </c>
      <c r="C52" s="15" t="n">
        <v>0.4506944444444445</v>
      </c>
      <c r="D52" s="15" t="n">
        <v>0.8388888888888889</v>
      </c>
      <c r="E52" t="inlineStr">
        <is>
          <t>HQ-G Ops</t>
        </is>
      </c>
    </row>
    <row r="53">
      <c r="A53" t="inlineStr">
        <is>
          <t>B-44380</t>
        </is>
      </c>
      <c r="B53" s="11" t="n">
        <v>46198</v>
      </c>
      <c r="C53" s="15" t="n">
        <v>0.4548611111111111</v>
      </c>
      <c r="D53" s="15" t="n">
        <v>0.8020833333333334</v>
      </c>
      <c r="E53" t="inlineStr">
        <is>
          <t>HQ-G Ops</t>
        </is>
      </c>
    </row>
    <row r="54">
      <c r="A54" t="inlineStr">
        <is>
          <t>B-80643</t>
        </is>
      </c>
      <c r="B54" s="11" t="n">
        <v>46199</v>
      </c>
      <c r="C54" s="15" t="n">
        <v>0.29375</v>
      </c>
      <c r="D54" s="15" t="n">
        <v>0.6847222222222222</v>
      </c>
      <c r="E54" t="inlineStr">
        <is>
          <t>HQ-G Ops</t>
        </is>
      </c>
    </row>
    <row r="55">
      <c r="A55" t="inlineStr">
        <is>
          <t>B-42449</t>
        </is>
      </c>
      <c r="B55" s="11" t="n">
        <v>46199</v>
      </c>
      <c r="C55" s="15" t="n">
        <v>0.2993055555555555</v>
      </c>
      <c r="D55" s="15" t="n">
        <v>0.6680555555555555</v>
      </c>
      <c r="E55" t="inlineStr">
        <is>
          <t>HQ-G Ops</t>
        </is>
      </c>
    </row>
    <row r="56">
      <c r="A56" t="inlineStr">
        <is>
          <t>B-66130</t>
        </is>
      </c>
      <c r="B56" s="11" t="n">
        <v>46199</v>
      </c>
      <c r="C56" s="15" t="n">
        <v>0.3111111111111111</v>
      </c>
      <c r="D56" s="15" t="n">
        <v>0.6159722222222223</v>
      </c>
      <c r="E56" t="inlineStr">
        <is>
          <t>HQ-1F Sales</t>
        </is>
      </c>
    </row>
    <row r="57">
      <c r="A57" t="inlineStr">
        <is>
          <t>B-53570</t>
        </is>
      </c>
      <c r="B57" s="11" t="n">
        <v>46199</v>
      </c>
      <c r="C57" s="15" t="n">
        <v>0.3145833333333333</v>
      </c>
      <c r="D57" s="15" t="n">
        <v>0.7125</v>
      </c>
      <c r="E57" t="inlineStr">
        <is>
          <t>HQ-B1 Plant</t>
        </is>
      </c>
    </row>
    <row r="58">
      <c r="A58" t="inlineStr">
        <is>
          <t>B-55197</t>
        </is>
      </c>
      <c r="B58" s="11" t="n">
        <v>46199</v>
      </c>
      <c r="C58" s="15" t="n">
        <v>0.3222222222222222</v>
      </c>
      <c r="D58" s="15" t="n">
        <v>0.6604166666666667</v>
      </c>
      <c r="E58" t="inlineStr">
        <is>
          <t>HQ-G Ops</t>
        </is>
      </c>
    </row>
    <row r="59">
      <c r="A59" t="inlineStr">
        <is>
          <t>B-73477</t>
        </is>
      </c>
      <c r="B59" s="11" t="n">
        <v>46199</v>
      </c>
      <c r="C59" s="15" t="n">
        <v>0.3354166666666666</v>
      </c>
      <c r="D59" s="15" t="n">
        <v>0.6645833333333333</v>
      </c>
      <c r="E59" t="inlineStr">
        <is>
          <t>HQ-G Ops</t>
        </is>
      </c>
    </row>
    <row r="60">
      <c r="A60" t="inlineStr">
        <is>
          <t>B-22683</t>
        </is>
      </c>
      <c r="B60" s="11" t="n">
        <v>46199</v>
      </c>
      <c r="C60" s="15" t="n">
        <v>0.3354166666666666</v>
      </c>
      <c r="D60" s="15" t="n">
        <v>0.6333333333333333</v>
      </c>
      <c r="E60" t="inlineStr">
        <is>
          <t>HQ-G Ops</t>
        </is>
      </c>
    </row>
    <row r="61">
      <c r="A61" t="inlineStr">
        <is>
          <t>B-81155</t>
        </is>
      </c>
      <c r="B61" s="11" t="n">
        <v>46199</v>
      </c>
      <c r="C61" s="15" t="n">
        <v>0.3395833333333333</v>
      </c>
      <c r="D61" s="15" t="n">
        <v>0.6888888888888889</v>
      </c>
      <c r="E61" t="inlineStr">
        <is>
          <t>HQ-G Ops</t>
        </is>
      </c>
    </row>
    <row r="62">
      <c r="A62" t="inlineStr">
        <is>
          <t>B-28377</t>
        </is>
      </c>
      <c r="B62" s="11" t="n">
        <v>46199</v>
      </c>
      <c r="C62" s="15" t="n">
        <v>0.3423611111111111</v>
      </c>
      <c r="D62" s="15" t="n">
        <v>0.6986111111111111</v>
      </c>
      <c r="E62" t="inlineStr">
        <is>
          <t>HQ-1F Sales</t>
        </is>
      </c>
    </row>
    <row r="63">
      <c r="A63" t="inlineStr">
        <is>
          <t>B-80138</t>
        </is>
      </c>
      <c r="B63" s="11" t="n">
        <v>46199</v>
      </c>
      <c r="C63" s="15" t="n">
        <v>0.3430555555555556</v>
      </c>
      <c r="D63" s="15" t="n">
        <v>0.6569444444444444</v>
      </c>
      <c r="E63" t="inlineStr">
        <is>
          <t>HQ-1F Sales</t>
        </is>
      </c>
    </row>
    <row r="64">
      <c r="A64" t="inlineStr">
        <is>
          <t>B-50831</t>
        </is>
      </c>
      <c r="B64" s="11" t="n">
        <v>46199</v>
      </c>
      <c r="C64" s="15" t="n">
        <v>0.3569444444444445</v>
      </c>
      <c r="D64" s="15" t="n">
        <v>0.7055555555555556</v>
      </c>
      <c r="E64" t="inlineStr">
        <is>
          <t>HQ-1F Sales</t>
        </is>
      </c>
    </row>
    <row r="65">
      <c r="A65" t="inlineStr">
        <is>
          <t>B-86404</t>
        </is>
      </c>
      <c r="B65" s="11" t="n">
        <v>46199</v>
      </c>
      <c r="C65" s="15" t="n">
        <v>0.3680555555555556</v>
      </c>
      <c r="D65" s="15" t="n">
        <v>0.7138888888888889</v>
      </c>
      <c r="E65" t="inlineStr">
        <is>
          <t>HQ-B1 Plant</t>
        </is>
      </c>
    </row>
    <row r="66">
      <c r="A66" t="inlineStr">
        <is>
          <t>B-74491</t>
        </is>
      </c>
      <c r="B66" s="11" t="n">
        <v>46199</v>
      </c>
      <c r="C66" s="15" t="n">
        <v>0.3784722222222222</v>
      </c>
      <c r="D66" s="15" t="n">
        <v>0.7756944444444445</v>
      </c>
      <c r="E66" t="inlineStr">
        <is>
          <t>HQ-2F Eng</t>
        </is>
      </c>
    </row>
    <row r="67">
      <c r="A67" t="inlineStr">
        <is>
          <t>B-87744</t>
        </is>
      </c>
      <c r="B67" s="11" t="n">
        <v>46199</v>
      </c>
      <c r="C67" s="15" t="n">
        <v>0.3784722222222222</v>
      </c>
      <c r="D67" s="15" t="n">
        <v>0.7930555555555555</v>
      </c>
      <c r="E67" t="inlineStr">
        <is>
          <t>HQ-1F Sales</t>
        </is>
      </c>
    </row>
    <row r="68">
      <c r="A68" t="inlineStr">
        <is>
          <t>B-88773</t>
        </is>
      </c>
      <c r="B68" s="11" t="n">
        <v>46199</v>
      </c>
      <c r="C68" s="15" t="n">
        <v>0.3840277777777778</v>
      </c>
      <c r="D68" s="15" t="n">
        <v>0.7104166666666667</v>
      </c>
      <c r="E68" t="inlineStr">
        <is>
          <t>HQ-1F Sales</t>
        </is>
      </c>
    </row>
    <row r="69">
      <c r="A69" t="inlineStr">
        <is>
          <t>B-20643</t>
        </is>
      </c>
      <c r="B69" s="11" t="n">
        <v>46199</v>
      </c>
      <c r="C69" s="15" t="n">
        <v>0.3847222222222222</v>
      </c>
      <c r="D69" s="15" t="n">
        <v>0.73125</v>
      </c>
      <c r="E69" t="inlineStr">
        <is>
          <t>HQ-G Ops</t>
        </is>
      </c>
    </row>
    <row r="70">
      <c r="A70" t="inlineStr">
        <is>
          <t>B-86545</t>
        </is>
      </c>
      <c r="B70" s="11" t="n">
        <v>46199</v>
      </c>
      <c r="C70" s="15" t="n">
        <v>0.39375</v>
      </c>
      <c r="D70" s="15" t="n">
        <v>0.6993055555555555</v>
      </c>
      <c r="E70" t="inlineStr">
        <is>
          <t>HQ-1F Sales</t>
        </is>
      </c>
    </row>
    <row r="71">
      <c r="A71" t="inlineStr">
        <is>
          <t>B-88070</t>
        </is>
      </c>
      <c r="B71" s="11" t="n">
        <v>46199</v>
      </c>
      <c r="C71" s="15" t="n">
        <v>0.3986111111111111</v>
      </c>
      <c r="D71" s="15" t="n">
        <v>0.7055555555555556</v>
      </c>
      <c r="E71" t="inlineStr">
        <is>
          <t>HQ-B1 Plant</t>
        </is>
      </c>
    </row>
    <row r="72">
      <c r="A72" t="inlineStr">
        <is>
          <t>B-66694</t>
        </is>
      </c>
      <c r="B72" s="11" t="n">
        <v>46199</v>
      </c>
      <c r="C72" s="15" t="n">
        <v>0.4125</v>
      </c>
      <c r="D72" s="15" t="n">
        <v>0.81875</v>
      </c>
      <c r="E72" t="inlineStr">
        <is>
          <t>HQ-1F Sales</t>
        </is>
      </c>
    </row>
    <row r="73">
      <c r="A73" t="inlineStr">
        <is>
          <t>B-45623</t>
        </is>
      </c>
      <c r="B73" s="11" t="n">
        <v>46199</v>
      </c>
      <c r="C73" s="15" t="n">
        <v>0.4145833333333334</v>
      </c>
      <c r="D73" s="15" t="n">
        <v>0.8277777777777777</v>
      </c>
      <c r="E73" t="inlineStr">
        <is>
          <t>HQ-1F Sales</t>
        </is>
      </c>
    </row>
    <row r="74">
      <c r="A74" t="inlineStr">
        <is>
          <t>B-74275</t>
        </is>
      </c>
      <c r="B74" s="11" t="n">
        <v>46199</v>
      </c>
      <c r="C74" s="15" t="n">
        <v>0.4243055555555555</v>
      </c>
      <c r="D74" s="15" t="n">
        <v>0.7972222222222223</v>
      </c>
      <c r="E74" t="inlineStr">
        <is>
          <t>HQ-2F Eng</t>
        </is>
      </c>
    </row>
    <row r="75">
      <c r="A75" t="inlineStr">
        <is>
          <t>B-48382</t>
        </is>
      </c>
      <c r="B75" s="11" t="n">
        <v>46199</v>
      </c>
      <c r="C75" s="15" t="n">
        <v>0.4284722222222222</v>
      </c>
      <c r="D75" s="15" t="n">
        <v>0.7909722222222222</v>
      </c>
      <c r="E75" t="inlineStr">
        <is>
          <t>HQ-3F Finance</t>
        </is>
      </c>
    </row>
    <row r="76">
      <c r="A76" t="inlineStr">
        <is>
          <t>B-45781</t>
        </is>
      </c>
      <c r="B76" s="11" t="n">
        <v>46199</v>
      </c>
      <c r="C76" s="15" t="n">
        <v>0.4305555555555556</v>
      </c>
      <c r="D76" s="15" t="n">
        <v>0.7784722222222222</v>
      </c>
      <c r="E76" t="inlineStr">
        <is>
          <t>HQ-G Ops</t>
        </is>
      </c>
    </row>
    <row r="77">
      <c r="A77" t="inlineStr">
        <is>
          <t>B-37198</t>
        </is>
      </c>
      <c r="B77" s="11" t="n">
        <v>46199</v>
      </c>
      <c r="C77" s="15" t="n">
        <v>0.4479166666666667</v>
      </c>
      <c r="D77" s="15" t="n">
        <v>0.7923611111111111</v>
      </c>
      <c r="E77" t="inlineStr">
        <is>
          <t>HQ-G Ops</t>
        </is>
      </c>
    </row>
    <row r="78">
      <c r="A78" t="inlineStr">
        <is>
          <t>B-56762</t>
        </is>
      </c>
      <c r="B78" s="11" t="n">
        <v>46199</v>
      </c>
      <c r="C78" s="15" t="n">
        <v>0.4506944444444445</v>
      </c>
      <c r="D78" s="15" t="n">
        <v>0.7729166666666667</v>
      </c>
      <c r="E78" t="inlineStr">
        <is>
          <t>HQ-2F Eng</t>
        </is>
      </c>
    </row>
    <row r="79">
      <c r="A79" t="inlineStr">
        <is>
          <t>B-58626</t>
        </is>
      </c>
      <c r="B79" s="11" t="n">
        <v>46202</v>
      </c>
      <c r="C79" s="15" t="n">
        <v>0.3034722222222222</v>
      </c>
      <c r="D79" s="15" t="n">
        <v>0.6</v>
      </c>
      <c r="E79" t="inlineStr">
        <is>
          <t>HQ-1F Sales</t>
        </is>
      </c>
    </row>
    <row r="80">
      <c r="A80" t="inlineStr">
        <is>
          <t>B-23380</t>
        </is>
      </c>
      <c r="B80" s="11" t="n">
        <v>46202</v>
      </c>
      <c r="C80" s="15" t="n">
        <v>0.3034722222222222</v>
      </c>
      <c r="D80" s="15" t="n">
        <v>0.7083333333333334</v>
      </c>
      <c r="E80" t="inlineStr">
        <is>
          <t>HQ-G Ops</t>
        </is>
      </c>
    </row>
    <row r="81">
      <c r="A81" t="inlineStr">
        <is>
          <t>B-55197</t>
        </is>
      </c>
      <c r="B81" s="11" t="n">
        <v>46202</v>
      </c>
      <c r="C81" s="15" t="n">
        <v>0.3041666666666666</v>
      </c>
      <c r="D81" s="15" t="n">
        <v>0.7097222222222223</v>
      </c>
      <c r="E81" t="inlineStr">
        <is>
          <t>HQ-G Ops</t>
        </is>
      </c>
    </row>
    <row r="82">
      <c r="A82" t="inlineStr">
        <is>
          <t>B-87744</t>
        </is>
      </c>
      <c r="B82" s="11" t="n">
        <v>46202</v>
      </c>
      <c r="C82" s="15" t="n">
        <v>0.3076388888888889</v>
      </c>
      <c r="D82" s="15" t="n">
        <v>0.7125</v>
      </c>
      <c r="E82" t="inlineStr">
        <is>
          <t>HQ-1F Sales</t>
        </is>
      </c>
    </row>
    <row r="83">
      <c r="A83" t="inlineStr">
        <is>
          <t>B-50831</t>
        </is>
      </c>
      <c r="B83" s="11" t="n">
        <v>46202</v>
      </c>
      <c r="C83" s="15" t="n">
        <v>0.3131944444444444</v>
      </c>
      <c r="D83" s="15" t="n">
        <v>0.6222222222222222</v>
      </c>
      <c r="E83" t="inlineStr">
        <is>
          <t>HQ-1F Sales</t>
        </is>
      </c>
    </row>
    <row r="84">
      <c r="A84" t="inlineStr">
        <is>
          <t>B-80643</t>
        </is>
      </c>
      <c r="B84" s="11" t="n">
        <v>46202</v>
      </c>
      <c r="C84" s="15" t="n">
        <v>0.3145833333333333</v>
      </c>
      <c r="D84" s="15" t="n">
        <v>0.7222222222222222</v>
      </c>
      <c r="E84" t="inlineStr">
        <is>
          <t>HQ-G Ops</t>
        </is>
      </c>
    </row>
    <row r="85">
      <c r="A85" t="inlineStr">
        <is>
          <t>B-74491</t>
        </is>
      </c>
      <c r="B85" s="11" t="n">
        <v>46202</v>
      </c>
      <c r="C85" s="15" t="n">
        <v>0.3152777777777778</v>
      </c>
      <c r="D85" s="15" t="n">
        <v>0.6555555555555556</v>
      </c>
      <c r="E85" t="inlineStr">
        <is>
          <t>HQ-2F Eng</t>
        </is>
      </c>
    </row>
    <row r="86">
      <c r="A86" t="inlineStr">
        <is>
          <t>B-48382</t>
        </is>
      </c>
      <c r="B86" s="11" t="n">
        <v>46202</v>
      </c>
      <c r="C86" s="15" t="n">
        <v>0.3236111111111111</v>
      </c>
      <c r="D86" s="15" t="n">
        <v>0.7194444444444444</v>
      </c>
      <c r="E86" t="inlineStr">
        <is>
          <t>HQ-3F Finance</t>
        </is>
      </c>
    </row>
    <row r="87">
      <c r="A87" t="inlineStr">
        <is>
          <t>B-28377</t>
        </is>
      </c>
      <c r="B87" s="11" t="n">
        <v>46202</v>
      </c>
      <c r="C87" s="15" t="n">
        <v>0.3340277777777778</v>
      </c>
      <c r="D87" s="15" t="n">
        <v>0.7090277777777778</v>
      </c>
      <c r="E87" t="inlineStr">
        <is>
          <t>HQ-1F Sales</t>
        </is>
      </c>
    </row>
    <row r="88">
      <c r="A88" t="inlineStr">
        <is>
          <t>B-66130</t>
        </is>
      </c>
      <c r="B88" s="11" t="n">
        <v>46202</v>
      </c>
      <c r="C88" s="15" t="n">
        <v>0.3402777777777778</v>
      </c>
      <c r="D88" s="15" t="n">
        <v>0.6777777777777778</v>
      </c>
      <c r="E88" t="inlineStr">
        <is>
          <t>HQ-1F Sales</t>
        </is>
      </c>
    </row>
    <row r="89">
      <c r="A89" t="inlineStr">
        <is>
          <t>B-44380</t>
        </is>
      </c>
      <c r="B89" s="11" t="n">
        <v>46202</v>
      </c>
      <c r="C89" s="15" t="n">
        <v>0.3548611111111111</v>
      </c>
      <c r="D89" s="15" t="n">
        <v>0.6979166666666666</v>
      </c>
      <c r="E89" t="inlineStr">
        <is>
          <t>HQ-G Ops</t>
        </is>
      </c>
    </row>
    <row r="90">
      <c r="A90" t="inlineStr">
        <is>
          <t>B-53570</t>
        </is>
      </c>
      <c r="B90" s="11" t="n">
        <v>46202</v>
      </c>
      <c r="C90" s="15" t="n">
        <v>0.3673611111111111</v>
      </c>
      <c r="D90" s="15" t="n">
        <v>0.7805555555555556</v>
      </c>
      <c r="E90" t="inlineStr">
        <is>
          <t>HQ-B1 Plant</t>
        </is>
      </c>
    </row>
    <row r="91">
      <c r="A91" t="inlineStr">
        <is>
          <t>B-37198</t>
        </is>
      </c>
      <c r="B91" s="11" t="n">
        <v>46202</v>
      </c>
      <c r="C91" s="15" t="n">
        <v>0.36875</v>
      </c>
      <c r="D91" s="15" t="n">
        <v>0.7229166666666667</v>
      </c>
      <c r="E91" t="inlineStr">
        <is>
          <t>HQ-G Ops</t>
        </is>
      </c>
    </row>
    <row r="92">
      <c r="A92" t="inlineStr">
        <is>
          <t>B-80138</t>
        </is>
      </c>
      <c r="B92" s="11" t="n">
        <v>46202</v>
      </c>
      <c r="C92" s="15" t="n">
        <v>0.38125</v>
      </c>
      <c r="D92" s="15" t="n">
        <v>0.6902777777777778</v>
      </c>
      <c r="E92" t="inlineStr">
        <is>
          <t>HQ-1F Sales</t>
        </is>
      </c>
    </row>
    <row r="93">
      <c r="A93" t="inlineStr">
        <is>
          <t>B-37382</t>
        </is>
      </c>
      <c r="B93" s="11" t="n">
        <v>46202</v>
      </c>
      <c r="C93" s="15" t="n">
        <v>0.3854166666666667</v>
      </c>
      <c r="D93" s="15" t="n">
        <v>0.7958333333333333</v>
      </c>
      <c r="E93" t="inlineStr">
        <is>
          <t>HQ-1F Sales</t>
        </is>
      </c>
    </row>
    <row r="94">
      <c r="A94" t="inlineStr">
        <is>
          <t>B-86545</t>
        </is>
      </c>
      <c r="B94" s="11" t="n">
        <v>46202</v>
      </c>
      <c r="C94" s="15" t="n">
        <v>0.3958333333333333</v>
      </c>
      <c r="D94" s="15" t="n">
        <v>0.7486111111111111</v>
      </c>
      <c r="E94" t="inlineStr">
        <is>
          <t>HQ-1F Sales</t>
        </is>
      </c>
    </row>
    <row r="95">
      <c r="A95" t="inlineStr">
        <is>
          <t>B-53691</t>
        </is>
      </c>
      <c r="B95" s="11" t="n">
        <v>46202</v>
      </c>
      <c r="C95" s="15" t="n">
        <v>0.3986111111111111</v>
      </c>
      <c r="D95" s="15" t="n">
        <v>0.8076388888888889</v>
      </c>
      <c r="E95" t="inlineStr">
        <is>
          <t>HQ-3F Finance</t>
        </is>
      </c>
    </row>
    <row r="96">
      <c r="A96" t="inlineStr">
        <is>
          <t>B-45623</t>
        </is>
      </c>
      <c r="B96" s="11" t="n">
        <v>46202</v>
      </c>
      <c r="C96" s="15" t="n">
        <v>0.4041666666666667</v>
      </c>
      <c r="D96" s="15" t="n">
        <v>0.7138888888888889</v>
      </c>
      <c r="E96" t="inlineStr">
        <is>
          <t>HQ-1F Sales</t>
        </is>
      </c>
    </row>
    <row r="97">
      <c r="A97" t="inlineStr">
        <is>
          <t>B-24982</t>
        </is>
      </c>
      <c r="B97" s="11" t="n">
        <v>46202</v>
      </c>
      <c r="C97" s="15" t="n">
        <v>0.4055555555555556</v>
      </c>
      <c r="D97" s="15" t="n">
        <v>0.7173611111111111</v>
      </c>
      <c r="E97" t="inlineStr">
        <is>
          <t>HQ-G Ops</t>
        </is>
      </c>
    </row>
    <row r="98">
      <c r="A98" t="inlineStr">
        <is>
          <t>B-88106</t>
        </is>
      </c>
      <c r="B98" s="11" t="n">
        <v>46202</v>
      </c>
      <c r="C98" s="15" t="n">
        <v>0.4069444444444444</v>
      </c>
      <c r="D98" s="15" t="n">
        <v>0.7284722222222222</v>
      </c>
      <c r="E98" t="inlineStr">
        <is>
          <t>HQ-2F Eng</t>
        </is>
      </c>
    </row>
    <row r="99">
      <c r="A99" t="inlineStr">
        <is>
          <t>B-88773</t>
        </is>
      </c>
      <c r="B99" s="11" t="n">
        <v>46202</v>
      </c>
      <c r="C99" s="15" t="n">
        <v>0.4284722222222222</v>
      </c>
      <c r="D99" s="15" t="n">
        <v>0.7756944444444445</v>
      </c>
      <c r="E99" t="inlineStr">
        <is>
          <t>HQ-1F Sales</t>
        </is>
      </c>
    </row>
    <row r="100">
      <c r="A100" t="inlineStr">
        <is>
          <t>B-45781</t>
        </is>
      </c>
      <c r="B100" s="11" t="n">
        <v>46202</v>
      </c>
      <c r="C100" s="15" t="n">
        <v>0.4340277777777778</v>
      </c>
      <c r="D100" s="15" t="n">
        <v>0.7319444444444444</v>
      </c>
      <c r="E100" t="inlineStr">
        <is>
          <t>HQ-G Ops</t>
        </is>
      </c>
    </row>
    <row r="101">
      <c r="A101" t="inlineStr">
        <is>
          <t>B-29625</t>
        </is>
      </c>
      <c r="B101" s="11" t="n">
        <v>46202</v>
      </c>
      <c r="C101" s="15" t="n">
        <v>0.4368055555555556</v>
      </c>
      <c r="D101" s="15" t="n">
        <v>0.7340277777777777</v>
      </c>
      <c r="E101" t="inlineStr">
        <is>
          <t>HQ-1F Sales</t>
        </is>
      </c>
    </row>
    <row r="102">
      <c r="A102" t="inlineStr">
        <is>
          <t>B-20643</t>
        </is>
      </c>
      <c r="B102" s="11" t="n">
        <v>46202</v>
      </c>
      <c r="C102" s="15" t="n">
        <v>0.4395833333333333</v>
      </c>
      <c r="D102" s="15" t="n">
        <v>0.775</v>
      </c>
      <c r="E102" t="inlineStr">
        <is>
          <t>HQ-G Ops</t>
        </is>
      </c>
    </row>
    <row r="103">
      <c r="A103" t="inlineStr">
        <is>
          <t>B-26316</t>
        </is>
      </c>
      <c r="B103" s="11" t="n">
        <v>46202</v>
      </c>
      <c r="C103" s="15" t="n">
        <v>0.4444444444444444</v>
      </c>
      <c r="D103" s="15" t="n">
        <v>0.8534722222222222</v>
      </c>
      <c r="E103" t="inlineStr">
        <is>
          <t>HQ-G Ops</t>
        </is>
      </c>
    </row>
    <row r="104">
      <c r="A104" t="inlineStr">
        <is>
          <t>B-74759</t>
        </is>
      </c>
      <c r="B104" s="11" t="n">
        <v>46203</v>
      </c>
      <c r="C104" s="15" t="n">
        <v>0.2965277777777778</v>
      </c>
      <c r="D104" s="15" t="n">
        <v>0.7076388888888889</v>
      </c>
      <c r="E104" t="inlineStr">
        <is>
          <t>HQ-2F Eng</t>
        </is>
      </c>
    </row>
    <row r="105">
      <c r="A105" t="inlineStr">
        <is>
          <t>B-65915</t>
        </is>
      </c>
      <c r="B105" s="11" t="n">
        <v>46203</v>
      </c>
      <c r="C105" s="15" t="n">
        <v>0.30625</v>
      </c>
      <c r="D105" s="15" t="n">
        <v>0.6611111111111111</v>
      </c>
      <c r="E105" t="inlineStr">
        <is>
          <t>HQ-1F Sales</t>
        </is>
      </c>
    </row>
    <row r="106">
      <c r="A106" t="inlineStr">
        <is>
          <t>B-88106</t>
        </is>
      </c>
      <c r="B106" s="11" t="n">
        <v>46203</v>
      </c>
      <c r="C106" s="15" t="n">
        <v>0.3118055555555556</v>
      </c>
      <c r="D106" s="15" t="n">
        <v>0.7069444444444445</v>
      </c>
      <c r="E106" t="inlineStr">
        <is>
          <t>HQ-2F Eng</t>
        </is>
      </c>
    </row>
    <row r="107">
      <c r="A107" t="inlineStr">
        <is>
          <t>B-80643</t>
        </is>
      </c>
      <c r="B107" s="11" t="n">
        <v>46203</v>
      </c>
      <c r="C107" s="15" t="n">
        <v>0.3333333333333333</v>
      </c>
      <c r="D107" s="15" t="n">
        <v>0.6777777777777778</v>
      </c>
      <c r="E107" t="inlineStr">
        <is>
          <t>HQ-G Ops</t>
        </is>
      </c>
    </row>
    <row r="108">
      <c r="A108" t="inlineStr">
        <is>
          <t>B-74491</t>
        </is>
      </c>
      <c r="B108" s="11" t="n">
        <v>46203</v>
      </c>
      <c r="C108" s="15" t="n">
        <v>0.3409722222222222</v>
      </c>
      <c r="D108" s="15" t="n">
        <v>0.6506944444444445</v>
      </c>
      <c r="E108" t="inlineStr">
        <is>
          <t>HQ-2F Eng</t>
        </is>
      </c>
    </row>
    <row r="109">
      <c r="A109" t="inlineStr">
        <is>
          <t>B-73477</t>
        </is>
      </c>
      <c r="B109" s="11" t="n">
        <v>46203</v>
      </c>
      <c r="C109" s="15" t="n">
        <v>0.3423611111111111</v>
      </c>
      <c r="D109" s="15" t="n">
        <v>0.6548611111111111</v>
      </c>
      <c r="E109" t="inlineStr">
        <is>
          <t>HQ-G Ops</t>
        </is>
      </c>
    </row>
    <row r="110">
      <c r="A110" t="inlineStr">
        <is>
          <t>B-29625</t>
        </is>
      </c>
      <c r="B110" s="11" t="n">
        <v>46203</v>
      </c>
      <c r="C110" s="15" t="n">
        <v>0.3520833333333334</v>
      </c>
      <c r="D110" s="15" t="n">
        <v>0.7513888888888889</v>
      </c>
      <c r="E110" t="inlineStr">
        <is>
          <t>HQ-1F Sales</t>
        </is>
      </c>
    </row>
    <row r="111">
      <c r="A111" t="inlineStr">
        <is>
          <t>B-55197</t>
        </is>
      </c>
      <c r="B111" s="11" t="n">
        <v>46203</v>
      </c>
      <c r="C111" s="15" t="n">
        <v>0.3520833333333334</v>
      </c>
      <c r="D111" s="15" t="n">
        <v>0.74375</v>
      </c>
      <c r="E111" t="inlineStr">
        <is>
          <t>HQ-G Ops</t>
        </is>
      </c>
    </row>
    <row r="112">
      <c r="A112" t="inlineStr">
        <is>
          <t>B-22683</t>
        </is>
      </c>
      <c r="B112" s="11" t="n">
        <v>46203</v>
      </c>
      <c r="C112" s="15" t="n">
        <v>0.3534722222222222</v>
      </c>
      <c r="D112" s="15" t="n">
        <v>0.7201388888888889</v>
      </c>
      <c r="E112" t="inlineStr">
        <is>
          <t>HQ-G Ops</t>
        </is>
      </c>
    </row>
    <row r="113">
      <c r="A113" t="inlineStr">
        <is>
          <t>B-26316</t>
        </is>
      </c>
      <c r="B113" s="11" t="n">
        <v>46203</v>
      </c>
      <c r="C113" s="15" t="n">
        <v>0.3548611111111111</v>
      </c>
      <c r="D113" s="15" t="n">
        <v>0.7104166666666667</v>
      </c>
      <c r="E113" t="inlineStr">
        <is>
          <t>HQ-G Ops</t>
        </is>
      </c>
    </row>
    <row r="114">
      <c r="A114" t="inlineStr">
        <is>
          <t>B-53570</t>
        </is>
      </c>
      <c r="B114" s="11" t="n">
        <v>46203</v>
      </c>
      <c r="C114" s="15" t="n">
        <v>0.3694444444444445</v>
      </c>
      <c r="D114" s="15" t="n">
        <v>0.7770833333333333</v>
      </c>
      <c r="E114" t="inlineStr">
        <is>
          <t>HQ-B1 Plant</t>
        </is>
      </c>
    </row>
    <row r="115">
      <c r="A115" t="inlineStr">
        <is>
          <t>B-65097</t>
        </is>
      </c>
      <c r="B115" s="11" t="n">
        <v>46203</v>
      </c>
      <c r="C115" s="15" t="n">
        <v>0.3729166666666667</v>
      </c>
      <c r="D115" s="15" t="n">
        <v>0.6784722222222223</v>
      </c>
      <c r="E115" t="inlineStr">
        <is>
          <t>HQ-B1 Plant</t>
        </is>
      </c>
    </row>
    <row r="116">
      <c r="A116" t="inlineStr">
        <is>
          <t>B-23380</t>
        </is>
      </c>
      <c r="B116" s="11" t="n">
        <v>46203</v>
      </c>
      <c r="C116" s="15" t="n">
        <v>0.3743055555555556</v>
      </c>
      <c r="D116" s="15" t="n">
        <v>0.7222222222222222</v>
      </c>
      <c r="E116" t="inlineStr">
        <is>
          <t>HQ-G Ops</t>
        </is>
      </c>
    </row>
    <row r="117">
      <c r="A117" t="inlineStr">
        <is>
          <t>B-88070</t>
        </is>
      </c>
      <c r="B117" s="11" t="n">
        <v>46203</v>
      </c>
      <c r="C117" s="15" t="n">
        <v>0.375</v>
      </c>
      <c r="D117" s="15" t="n">
        <v>0.7826388888888889</v>
      </c>
      <c r="E117" t="inlineStr">
        <is>
          <t>HQ-B1 Plant</t>
        </is>
      </c>
    </row>
    <row r="118">
      <c r="A118" t="inlineStr">
        <is>
          <t>B-59802</t>
        </is>
      </c>
      <c r="B118" s="11" t="n">
        <v>46203</v>
      </c>
      <c r="C118" s="15" t="n">
        <v>0.3861111111111111</v>
      </c>
      <c r="D118" s="15" t="n">
        <v>0.7902777777777777</v>
      </c>
      <c r="E118" t="inlineStr">
        <is>
          <t>HQ-B1 Plant</t>
        </is>
      </c>
    </row>
    <row r="119">
      <c r="A119" t="inlineStr">
        <is>
          <t>B-48382</t>
        </is>
      </c>
      <c r="B119" s="11" t="n">
        <v>46203</v>
      </c>
      <c r="C119" s="15" t="n">
        <v>0.4</v>
      </c>
      <c r="D119" s="15" t="n">
        <v>0.7076388888888889</v>
      </c>
      <c r="E119" t="inlineStr">
        <is>
          <t>HQ-3F Finance</t>
        </is>
      </c>
    </row>
    <row r="120">
      <c r="A120" t="inlineStr">
        <is>
          <t>B-86404</t>
        </is>
      </c>
      <c r="B120" s="11" t="n">
        <v>46203</v>
      </c>
      <c r="C120" s="15" t="n">
        <v>0.4076388888888889</v>
      </c>
      <c r="D120" s="15" t="n">
        <v>0.7527777777777778</v>
      </c>
      <c r="E120" t="inlineStr">
        <is>
          <t>HQ-B1 Plant</t>
        </is>
      </c>
    </row>
    <row r="121">
      <c r="A121" t="inlineStr">
        <is>
          <t>B-58626</t>
        </is>
      </c>
      <c r="B121" s="11" t="n">
        <v>46203</v>
      </c>
      <c r="C121" s="15" t="n">
        <v>0.4138888888888889</v>
      </c>
      <c r="D121" s="15" t="n">
        <v>0.7138888888888889</v>
      </c>
      <c r="E121" t="inlineStr">
        <is>
          <t>HQ-1F Sales</t>
        </is>
      </c>
    </row>
    <row r="122">
      <c r="A122" t="inlineStr">
        <is>
          <t>B-81155</t>
        </is>
      </c>
      <c r="B122" s="11" t="n">
        <v>46203</v>
      </c>
      <c r="C122" s="15" t="n">
        <v>0.4173611111111111</v>
      </c>
      <c r="D122" s="15" t="n">
        <v>0.7729166666666667</v>
      </c>
      <c r="E122" t="inlineStr">
        <is>
          <t>HQ-G Ops</t>
        </is>
      </c>
    </row>
    <row r="123">
      <c r="A123" t="inlineStr">
        <is>
          <t>B-53691</t>
        </is>
      </c>
      <c r="B123" s="11" t="n">
        <v>46203</v>
      </c>
      <c r="C123" s="15" t="n">
        <v>0.4208333333333333</v>
      </c>
      <c r="D123" s="15" t="n">
        <v>0.8368055555555556</v>
      </c>
      <c r="E123" t="inlineStr">
        <is>
          <t>HQ-3F Finance</t>
        </is>
      </c>
    </row>
    <row r="124">
      <c r="A124" t="inlineStr">
        <is>
          <t>B-42449</t>
        </is>
      </c>
      <c r="B124" s="11" t="n">
        <v>46203</v>
      </c>
      <c r="C124" s="15" t="n">
        <v>0.4305555555555556</v>
      </c>
      <c r="D124" s="15" t="n">
        <v>0.8305555555555556</v>
      </c>
      <c r="E124" t="inlineStr">
        <is>
          <t>HQ-G Ops</t>
        </is>
      </c>
    </row>
    <row r="125">
      <c r="A125" t="inlineStr">
        <is>
          <t>B-28377</t>
        </is>
      </c>
      <c r="B125" s="11" t="n">
        <v>46203</v>
      </c>
      <c r="C125" s="15" t="n">
        <v>0.4430555555555555</v>
      </c>
      <c r="D125" s="15" t="n">
        <v>0.7986111111111112</v>
      </c>
      <c r="E125" t="inlineStr">
        <is>
          <t>HQ-1F Sales</t>
        </is>
      </c>
    </row>
    <row r="126">
      <c r="A126" t="inlineStr">
        <is>
          <t>B-50831</t>
        </is>
      </c>
      <c r="B126" s="11" t="n">
        <v>46203</v>
      </c>
      <c r="C126" s="15" t="n">
        <v>0.4458333333333334</v>
      </c>
      <c r="D126" s="15" t="n">
        <v>0.7465277777777778</v>
      </c>
      <c r="E126" t="inlineStr">
        <is>
          <t>HQ-1F Sales</t>
        </is>
      </c>
    </row>
    <row r="127">
      <c r="A127" t="inlineStr">
        <is>
          <t>B-37198</t>
        </is>
      </c>
      <c r="B127" s="11" t="n">
        <v>46203</v>
      </c>
      <c r="C127" s="15" t="n">
        <v>0.4472222222222222</v>
      </c>
      <c r="D127" s="15" t="n">
        <v>0.7819444444444444</v>
      </c>
      <c r="E127" t="inlineStr">
        <is>
          <t>HQ-G Ops</t>
        </is>
      </c>
    </row>
    <row r="128">
      <c r="A128" t="inlineStr">
        <is>
          <t>B-84485</t>
        </is>
      </c>
      <c r="B128" s="11" t="n">
        <v>46203</v>
      </c>
      <c r="C128" s="15" t="n">
        <v>0.4479166666666667</v>
      </c>
      <c r="D128" s="15" t="n">
        <v>0.7479166666666667</v>
      </c>
      <c r="E128" t="inlineStr">
        <is>
          <t>HQ-G Ops</t>
        </is>
      </c>
    </row>
    <row r="129">
      <c r="A129" t="inlineStr">
        <is>
          <t>B-74759</t>
        </is>
      </c>
      <c r="B129" s="11" t="n">
        <v>46203</v>
      </c>
      <c r="C129" s="15" t="n">
        <v>0.7930555555555555</v>
      </c>
      <c r="D129" s="15" t="n">
        <v>0.9965277777777778</v>
      </c>
      <c r="E129" t="inlineStr">
        <is>
          <t>HQ-2F Eng</t>
        </is>
      </c>
    </row>
    <row r="130">
      <c r="A130" t="inlineStr">
        <is>
          <t>B-59802</t>
        </is>
      </c>
      <c r="B130" s="11" t="n">
        <v>46203</v>
      </c>
      <c r="C130" s="15" t="n">
        <v>0.8784722222222222</v>
      </c>
      <c r="D130" s="15" t="n">
        <v>0.9444444444444444</v>
      </c>
      <c r="E130" t="inlineStr">
        <is>
          <t>HQ-B1 Plant</t>
        </is>
      </c>
    </row>
    <row r="131">
      <c r="A131" t="inlineStr">
        <is>
          <t>B-65097</t>
        </is>
      </c>
      <c r="B131" s="11" t="n">
        <v>46203</v>
      </c>
      <c r="C131" s="15" t="n">
        <v>0.8784722222222222</v>
      </c>
      <c r="D131" s="15" t="n">
        <v>0.9444444444444444</v>
      </c>
      <c r="E131" t="inlineStr">
        <is>
          <t>HQ-B1 Plant</t>
        </is>
      </c>
    </row>
    <row r="132">
      <c r="A132" t="inlineStr">
        <is>
          <t>B-48382</t>
        </is>
      </c>
      <c r="B132" s="11" t="n">
        <v>46203</v>
      </c>
      <c r="C132" s="15" t="n">
        <v>0.9520833333333333</v>
      </c>
      <c r="D132" s="15" t="n">
        <v>0.9847222222222223</v>
      </c>
      <c r="E132" t="inlineStr">
        <is>
          <t>HQ-3F Finance</t>
        </is>
      </c>
    </row>
    <row r="133">
      <c r="A133" t="inlineStr">
        <is>
          <t>B-88106</t>
        </is>
      </c>
      <c r="B133" s="11" t="n">
        <v>46204</v>
      </c>
      <c r="C133" s="15" t="n">
        <v>0.2930555555555556</v>
      </c>
      <c r="D133" s="15" t="n">
        <v>0.6458333333333334</v>
      </c>
      <c r="E133" t="inlineStr">
        <is>
          <t>HQ-2F Eng</t>
        </is>
      </c>
    </row>
    <row r="134">
      <c r="A134" t="inlineStr">
        <is>
          <t>B-45781</t>
        </is>
      </c>
      <c r="B134" s="11" t="n">
        <v>46204</v>
      </c>
      <c r="C134" s="15" t="n">
        <v>0.29375</v>
      </c>
      <c r="D134" s="15" t="n">
        <v>0.5909722222222222</v>
      </c>
      <c r="E134" t="inlineStr">
        <is>
          <t>HQ-G Ops</t>
        </is>
      </c>
    </row>
    <row r="135">
      <c r="A135" t="inlineStr">
        <is>
          <t>B-65915</t>
        </is>
      </c>
      <c r="B135" s="11" t="n">
        <v>46204</v>
      </c>
      <c r="C135" s="15" t="n">
        <v>0.2979166666666667</v>
      </c>
      <c r="D135" s="15" t="n">
        <v>0.6381944444444444</v>
      </c>
      <c r="E135" t="inlineStr">
        <is>
          <t>HQ-1F Sales</t>
        </is>
      </c>
    </row>
    <row r="136">
      <c r="A136" t="inlineStr">
        <is>
          <t>B-44380</t>
        </is>
      </c>
      <c r="B136" s="11" t="n">
        <v>46204</v>
      </c>
      <c r="C136" s="15" t="n">
        <v>0.3041666666666666</v>
      </c>
      <c r="D136" s="15" t="n">
        <v>0.6395833333333333</v>
      </c>
      <c r="E136" t="inlineStr">
        <is>
          <t>HQ-G Ops</t>
        </is>
      </c>
    </row>
    <row r="137">
      <c r="A137" t="inlineStr">
        <is>
          <t>B-53691</t>
        </is>
      </c>
      <c r="B137" s="11" t="n">
        <v>46204</v>
      </c>
      <c r="C137" s="15" t="n">
        <v>0.3131944444444444</v>
      </c>
      <c r="D137" s="15" t="n">
        <v>0.6951388888888889</v>
      </c>
      <c r="E137" t="inlineStr">
        <is>
          <t>HQ-3F Finance</t>
        </is>
      </c>
    </row>
    <row r="138">
      <c r="A138" t="inlineStr">
        <is>
          <t>B-66694</t>
        </is>
      </c>
      <c r="B138" s="11" t="n">
        <v>46204</v>
      </c>
      <c r="C138" s="15" t="n">
        <v>0.3166666666666667</v>
      </c>
      <c r="D138" s="15" t="n">
        <v>0.7215277777777778</v>
      </c>
      <c r="E138" t="inlineStr">
        <is>
          <t>HQ-1F Sales</t>
        </is>
      </c>
    </row>
    <row r="139">
      <c r="A139" t="inlineStr">
        <is>
          <t>B-81155</t>
        </is>
      </c>
      <c r="B139" s="11" t="n">
        <v>46204</v>
      </c>
      <c r="C139" s="15" t="n">
        <v>0.3166666666666667</v>
      </c>
      <c r="D139" s="15" t="n">
        <v>0.6513888888888889</v>
      </c>
      <c r="E139" t="inlineStr">
        <is>
          <t>HQ-G Ops</t>
        </is>
      </c>
    </row>
    <row r="140">
      <c r="A140" t="inlineStr">
        <is>
          <t>B-37382</t>
        </is>
      </c>
      <c r="B140" s="11" t="n">
        <v>46204</v>
      </c>
      <c r="C140" s="15" t="n">
        <v>0.3208333333333334</v>
      </c>
      <c r="D140" s="15" t="n">
        <v>0.6291666666666667</v>
      </c>
      <c r="E140" t="inlineStr">
        <is>
          <t>HQ-1F Sales</t>
        </is>
      </c>
    </row>
    <row r="141">
      <c r="A141" t="inlineStr">
        <is>
          <t>B-53570</t>
        </is>
      </c>
      <c r="B141" s="11" t="n">
        <v>46204</v>
      </c>
      <c r="C141" s="15" t="n">
        <v>0.3222222222222222</v>
      </c>
      <c r="D141" s="15" t="n">
        <v>0.7361111111111112</v>
      </c>
      <c r="E141" t="inlineStr">
        <is>
          <t>HQ-B1 Plant</t>
        </is>
      </c>
    </row>
    <row r="142">
      <c r="A142" t="inlineStr">
        <is>
          <t>B-20643</t>
        </is>
      </c>
      <c r="B142" s="11" t="n">
        <v>46204</v>
      </c>
      <c r="C142" s="15" t="n">
        <v>0.3256944444444445</v>
      </c>
      <c r="D142" s="15" t="n">
        <v>0.7138888888888889</v>
      </c>
      <c r="E142" t="inlineStr">
        <is>
          <t>HQ-G Ops</t>
        </is>
      </c>
    </row>
    <row r="143">
      <c r="A143" t="inlineStr">
        <is>
          <t>B-74491</t>
        </is>
      </c>
      <c r="B143" s="11" t="n">
        <v>46204</v>
      </c>
      <c r="C143" s="15" t="n">
        <v>0.3388888888888889</v>
      </c>
      <c r="D143" s="15" t="n">
        <v>0.6875</v>
      </c>
      <c r="E143" t="inlineStr">
        <is>
          <t>HQ-2F Eng</t>
        </is>
      </c>
    </row>
    <row r="144">
      <c r="A144" t="inlineStr">
        <is>
          <t>B-28377</t>
        </is>
      </c>
      <c r="B144" s="11" t="n">
        <v>46204</v>
      </c>
      <c r="C144" s="15" t="n">
        <v>0.36875</v>
      </c>
      <c r="D144" s="15" t="n">
        <v>0.7847222222222222</v>
      </c>
      <c r="E144" t="inlineStr">
        <is>
          <t>HQ-1F Sales</t>
        </is>
      </c>
    </row>
    <row r="145">
      <c r="A145" t="inlineStr">
        <is>
          <t>B-66130</t>
        </is>
      </c>
      <c r="B145" s="11" t="n">
        <v>46204</v>
      </c>
      <c r="C145" s="15" t="n">
        <v>0.3763888888888889</v>
      </c>
      <c r="D145" s="15" t="n">
        <v>0.71875</v>
      </c>
      <c r="E145" t="inlineStr">
        <is>
          <t>HQ-1F Sales</t>
        </is>
      </c>
    </row>
    <row r="146">
      <c r="A146" t="inlineStr">
        <is>
          <t>B-88070</t>
        </is>
      </c>
      <c r="B146" s="11" t="n">
        <v>46204</v>
      </c>
      <c r="C146" s="15" t="n">
        <v>0.4159722222222222</v>
      </c>
      <c r="D146" s="15" t="n">
        <v>0.7347222222222223</v>
      </c>
      <c r="E146" t="inlineStr">
        <is>
          <t>HQ-B1 Plant</t>
        </is>
      </c>
    </row>
    <row r="147">
      <c r="A147" t="inlineStr">
        <is>
          <t>B-88773</t>
        </is>
      </c>
      <c r="B147" s="11" t="n">
        <v>46204</v>
      </c>
      <c r="C147" s="15" t="n">
        <v>0.4194444444444445</v>
      </c>
      <c r="D147" s="15" t="n">
        <v>0.7784722222222222</v>
      </c>
      <c r="E147" t="inlineStr">
        <is>
          <t>HQ-1F Sales</t>
        </is>
      </c>
    </row>
    <row r="148">
      <c r="A148" t="inlineStr">
        <is>
          <t>B-26316</t>
        </is>
      </c>
      <c r="B148" s="11" t="n">
        <v>46204</v>
      </c>
      <c r="C148" s="15" t="n">
        <v>0.4243055555555555</v>
      </c>
      <c r="D148" s="15" t="n">
        <v>0.7840277777777778</v>
      </c>
      <c r="E148" t="inlineStr">
        <is>
          <t>HQ-G Ops</t>
        </is>
      </c>
    </row>
    <row r="149">
      <c r="A149" t="inlineStr">
        <is>
          <t>B-48382</t>
        </is>
      </c>
      <c r="B149" s="11" t="n">
        <v>46204</v>
      </c>
      <c r="C149" s="15" t="n">
        <v>0.4256944444444444</v>
      </c>
      <c r="D149" s="15" t="n">
        <v>0.7784722222222222</v>
      </c>
      <c r="E149" t="inlineStr">
        <is>
          <t>HQ-3F Finance</t>
        </is>
      </c>
    </row>
    <row r="150">
      <c r="A150" t="inlineStr">
        <is>
          <t>B-80138</t>
        </is>
      </c>
      <c r="B150" s="11" t="n">
        <v>46204</v>
      </c>
      <c r="C150" s="15" t="n">
        <v>0.4284722222222222</v>
      </c>
      <c r="D150" s="15" t="n">
        <v>0.8284722222222223</v>
      </c>
      <c r="E150" t="inlineStr">
        <is>
          <t>HQ-1F Sales</t>
        </is>
      </c>
    </row>
    <row r="151">
      <c r="A151" t="inlineStr">
        <is>
          <t>B-58626</t>
        </is>
      </c>
      <c r="B151" s="11" t="n">
        <v>46204</v>
      </c>
      <c r="C151" s="15" t="n">
        <v>0.4291666666666666</v>
      </c>
      <c r="D151" s="15" t="n">
        <v>0.8208333333333333</v>
      </c>
      <c r="E151" t="inlineStr">
        <is>
          <t>HQ-1F Sales</t>
        </is>
      </c>
    </row>
    <row r="152">
      <c r="A152" t="inlineStr">
        <is>
          <t>B-86545</t>
        </is>
      </c>
      <c r="B152" s="11" t="n">
        <v>46204</v>
      </c>
      <c r="C152" s="15" t="n">
        <v>0.4305555555555556</v>
      </c>
      <c r="D152" s="15" t="n">
        <v>0.7375</v>
      </c>
      <c r="E152" t="inlineStr">
        <is>
          <t>HQ-1F Sales</t>
        </is>
      </c>
    </row>
    <row r="153">
      <c r="A153" t="inlineStr">
        <is>
          <t>B-42449</t>
        </is>
      </c>
      <c r="B153" s="11" t="n">
        <v>46204</v>
      </c>
      <c r="C153" s="15" t="n">
        <v>0.4340277777777778</v>
      </c>
      <c r="D153" s="15" t="n">
        <v>0.7944444444444444</v>
      </c>
      <c r="E153" t="inlineStr">
        <is>
          <t>HQ-G Ops</t>
        </is>
      </c>
    </row>
    <row r="154">
      <c r="A154" t="inlineStr">
        <is>
          <t>B-22683</t>
        </is>
      </c>
      <c r="B154" s="11" t="n">
        <v>46204</v>
      </c>
      <c r="C154" s="15" t="n">
        <v>0.4354166666666667</v>
      </c>
      <c r="D154" s="15" t="n">
        <v>0.7506944444444444</v>
      </c>
      <c r="E154" t="inlineStr">
        <is>
          <t>HQ-G Ops</t>
        </is>
      </c>
    </row>
    <row r="155">
      <c r="A155" t="inlineStr">
        <is>
          <t>B-86404</t>
        </is>
      </c>
      <c r="B155" s="11" t="n">
        <v>46204</v>
      </c>
      <c r="C155" s="15" t="n">
        <v>0.4416666666666667</v>
      </c>
      <c r="D155" s="15" t="n">
        <v>0.8569444444444444</v>
      </c>
      <c r="E155" t="inlineStr">
        <is>
          <t>HQ-B1 Plant</t>
        </is>
      </c>
    </row>
    <row r="156">
      <c r="A156" t="inlineStr">
        <is>
          <t>B-80643</t>
        </is>
      </c>
      <c r="B156" s="11" t="n">
        <v>46204</v>
      </c>
      <c r="C156" s="15" t="n">
        <v>0.45</v>
      </c>
      <c r="D156" s="15" t="n">
        <v>0.7444444444444445</v>
      </c>
      <c r="E156" t="inlineStr">
        <is>
          <t>HQ-G Ops</t>
        </is>
      </c>
    </row>
    <row r="157">
      <c r="A157" t="inlineStr">
        <is>
          <t>B-45623</t>
        </is>
      </c>
      <c r="B157" s="11" t="n">
        <v>46204</v>
      </c>
      <c r="C157" s="15" t="n">
        <v>0.4513888888888889</v>
      </c>
      <c r="D157" s="15" t="n">
        <v>0.8416666666666667</v>
      </c>
      <c r="E157" t="inlineStr">
        <is>
          <t>HQ-1F Sales</t>
        </is>
      </c>
    </row>
    <row r="158">
      <c r="A158" t="inlineStr">
        <is>
          <t>B-74759</t>
        </is>
      </c>
      <c r="B158" s="11" t="n">
        <v>46204</v>
      </c>
      <c r="C158" s="15" t="n">
        <v>0.4555555555555555</v>
      </c>
      <c r="D158" s="15" t="n">
        <v>0.8020833333333334</v>
      </c>
      <c r="E158" t="inlineStr">
        <is>
          <t>HQ-2F Eng</t>
        </is>
      </c>
    </row>
    <row r="159">
      <c r="A159" t="inlineStr">
        <is>
          <t>B-84485</t>
        </is>
      </c>
      <c r="B159" s="11" t="n">
        <v>46205</v>
      </c>
      <c r="C159" s="15" t="n">
        <v>0.2930555555555556</v>
      </c>
      <c r="D159" s="15" t="n">
        <v>0.6708333333333333</v>
      </c>
      <c r="E159" t="inlineStr">
        <is>
          <t>HQ-G Ops</t>
        </is>
      </c>
    </row>
    <row r="160">
      <c r="A160" t="inlineStr">
        <is>
          <t>B-65915</t>
        </is>
      </c>
      <c r="B160" s="11" t="n">
        <v>46205</v>
      </c>
      <c r="C160" s="15" t="n">
        <v>0.29375</v>
      </c>
      <c r="D160" s="15" t="n">
        <v>0.6256944444444444</v>
      </c>
      <c r="E160" t="inlineStr">
        <is>
          <t>HQ-1F Sales</t>
        </is>
      </c>
    </row>
    <row r="161">
      <c r="A161" t="inlineStr">
        <is>
          <t>B-56762</t>
        </is>
      </c>
      <c r="B161" s="11" t="n">
        <v>46205</v>
      </c>
      <c r="C161" s="15" t="n">
        <v>0.2993055555555555</v>
      </c>
      <c r="D161" s="15" t="n">
        <v>0.7013888888888888</v>
      </c>
      <c r="E161" t="inlineStr">
        <is>
          <t>HQ-2F Eng</t>
        </is>
      </c>
    </row>
    <row r="162">
      <c r="A162" t="inlineStr">
        <is>
          <t>B-80643</t>
        </is>
      </c>
      <c r="B162" s="11" t="n">
        <v>46205</v>
      </c>
      <c r="C162" s="15" t="n">
        <v>0.3090277777777778</v>
      </c>
      <c r="D162" s="15" t="n">
        <v>0.6923611111111111</v>
      </c>
      <c r="E162" t="inlineStr">
        <is>
          <t>HQ-G Ops</t>
        </is>
      </c>
    </row>
    <row r="163">
      <c r="A163" t="inlineStr">
        <is>
          <t>B-37198</t>
        </is>
      </c>
      <c r="B163" s="11" t="n">
        <v>46205</v>
      </c>
      <c r="C163" s="15" t="n">
        <v>0.3194444444444444</v>
      </c>
      <c r="D163" s="15" t="n">
        <v>0.6625</v>
      </c>
      <c r="E163" t="inlineStr">
        <is>
          <t>HQ-G Ops</t>
        </is>
      </c>
    </row>
    <row r="164">
      <c r="A164" t="inlineStr">
        <is>
          <t>B-53691</t>
        </is>
      </c>
      <c r="B164" s="11" t="n">
        <v>46205</v>
      </c>
      <c r="C164" s="15" t="n">
        <v>0.325</v>
      </c>
      <c r="D164" s="15" t="n">
        <v>0.71875</v>
      </c>
      <c r="E164" t="inlineStr">
        <is>
          <t>HQ-3F Finance</t>
        </is>
      </c>
    </row>
    <row r="165">
      <c r="A165" t="inlineStr">
        <is>
          <t>B-65097</t>
        </is>
      </c>
      <c r="B165" s="11" t="n">
        <v>46205</v>
      </c>
      <c r="C165" s="15" t="n">
        <v>0.3270833333333333</v>
      </c>
      <c r="D165" s="15" t="n">
        <v>0.6666666666666666</v>
      </c>
      <c r="E165" t="inlineStr">
        <is>
          <t>HQ-B1 Plant</t>
        </is>
      </c>
    </row>
    <row r="166">
      <c r="A166" t="inlineStr">
        <is>
          <t>B-86545</t>
        </is>
      </c>
      <c r="B166" s="11" t="n">
        <v>46205</v>
      </c>
      <c r="C166" s="15" t="n">
        <v>0.3347222222222222</v>
      </c>
      <c r="D166" s="15" t="n">
        <v>0.6416666666666667</v>
      </c>
      <c r="E166" t="inlineStr">
        <is>
          <t>HQ-1F Sales</t>
        </is>
      </c>
    </row>
    <row r="167">
      <c r="A167" t="inlineStr">
        <is>
          <t>B-88773</t>
        </is>
      </c>
      <c r="B167" s="11" t="n">
        <v>46205</v>
      </c>
      <c r="C167" s="15" t="n">
        <v>0.3361111111111111</v>
      </c>
      <c r="D167" s="15" t="n">
        <v>0.6388888888888888</v>
      </c>
      <c r="E167" t="inlineStr">
        <is>
          <t>HQ-1F Sales</t>
        </is>
      </c>
    </row>
    <row r="168">
      <c r="A168" t="inlineStr">
        <is>
          <t>B-88070</t>
        </is>
      </c>
      <c r="B168" s="11" t="n">
        <v>46205</v>
      </c>
      <c r="C168" s="15" t="n">
        <v>0.3402777777777778</v>
      </c>
      <c r="D168" s="15" t="n">
        <v>0.7298611111111111</v>
      </c>
      <c r="E168" t="inlineStr">
        <is>
          <t>HQ-B1 Plant</t>
        </is>
      </c>
    </row>
    <row r="169">
      <c r="A169" t="inlineStr">
        <is>
          <t>B-73477</t>
        </is>
      </c>
      <c r="B169" s="11" t="n">
        <v>46205</v>
      </c>
      <c r="C169" s="15" t="n">
        <v>0.3458333333333333</v>
      </c>
      <c r="D169" s="15" t="n">
        <v>0.6618055555555555</v>
      </c>
      <c r="E169" t="inlineStr">
        <is>
          <t>HQ-G Ops</t>
        </is>
      </c>
    </row>
    <row r="170">
      <c r="A170" t="inlineStr">
        <is>
          <t>B-22683</t>
        </is>
      </c>
      <c r="B170" s="11" t="n">
        <v>46205</v>
      </c>
      <c r="C170" s="15" t="n">
        <v>0.3576388888888889</v>
      </c>
      <c r="D170" s="15" t="n">
        <v>0.7652777777777777</v>
      </c>
      <c r="E170" t="inlineStr">
        <is>
          <t>HQ-G Ops</t>
        </is>
      </c>
    </row>
    <row r="171">
      <c r="A171" t="inlineStr">
        <is>
          <t>B-87744</t>
        </is>
      </c>
      <c r="B171" s="11" t="n">
        <v>46205</v>
      </c>
      <c r="C171" s="15" t="n">
        <v>0.3784722222222222</v>
      </c>
      <c r="D171" s="15" t="n">
        <v>0.7729166666666667</v>
      </c>
      <c r="E171" t="inlineStr">
        <is>
          <t>HQ-1F Sales</t>
        </is>
      </c>
    </row>
    <row r="172">
      <c r="A172" t="inlineStr">
        <is>
          <t>B-74275</t>
        </is>
      </c>
      <c r="B172" s="11" t="n">
        <v>46205</v>
      </c>
      <c r="C172" s="15" t="n">
        <v>0.3916666666666667</v>
      </c>
      <c r="D172" s="15" t="n">
        <v>0.8076388888888889</v>
      </c>
      <c r="E172" t="inlineStr">
        <is>
          <t>HQ-2F Eng</t>
        </is>
      </c>
    </row>
    <row r="173">
      <c r="A173" t="inlineStr">
        <is>
          <t>B-44380</t>
        </is>
      </c>
      <c r="B173" s="11" t="n">
        <v>46205</v>
      </c>
      <c r="C173" s="15" t="n">
        <v>0.3972222222222222</v>
      </c>
      <c r="D173" s="15" t="n">
        <v>0.7930555555555555</v>
      </c>
      <c r="E173" t="inlineStr">
        <is>
          <t>HQ-G Ops</t>
        </is>
      </c>
    </row>
    <row r="174">
      <c r="A174" t="inlineStr">
        <is>
          <t>B-45781</t>
        </is>
      </c>
      <c r="B174" s="11" t="n">
        <v>46205</v>
      </c>
      <c r="C174" s="15" t="n">
        <v>0.4</v>
      </c>
      <c r="D174" s="15" t="n">
        <v>0.8118055555555556</v>
      </c>
      <c r="E174" t="inlineStr">
        <is>
          <t>HQ-G Ops</t>
        </is>
      </c>
    </row>
    <row r="175">
      <c r="A175" t="inlineStr">
        <is>
          <t>B-42449</t>
        </is>
      </c>
      <c r="B175" s="11" t="n">
        <v>46205</v>
      </c>
      <c r="C175" s="15" t="n">
        <v>0.4055555555555556</v>
      </c>
      <c r="D175" s="15" t="n">
        <v>0.7444444444444445</v>
      </c>
      <c r="E175" t="inlineStr">
        <is>
          <t>HQ-G Ops</t>
        </is>
      </c>
    </row>
    <row r="176">
      <c r="A176" t="inlineStr">
        <is>
          <t>B-74759</t>
        </is>
      </c>
      <c r="B176" s="11" t="n">
        <v>46205</v>
      </c>
      <c r="C176" s="15" t="n">
        <v>0.4111111111111111</v>
      </c>
      <c r="D176" s="15" t="n">
        <v>0.7152777777777778</v>
      </c>
      <c r="E176" t="inlineStr">
        <is>
          <t>HQ-2F Eng</t>
        </is>
      </c>
    </row>
    <row r="177">
      <c r="A177" t="inlineStr">
        <is>
          <t>B-48382</t>
        </is>
      </c>
      <c r="B177" s="11" t="n">
        <v>46205</v>
      </c>
      <c r="C177" s="15" t="n">
        <v>0.4298611111111111</v>
      </c>
      <c r="D177" s="15" t="n">
        <v>0.7958333333333333</v>
      </c>
      <c r="E177" t="inlineStr">
        <is>
          <t>HQ-3F Finance</t>
        </is>
      </c>
    </row>
    <row r="178">
      <c r="A178" t="inlineStr">
        <is>
          <t>B-50831</t>
        </is>
      </c>
      <c r="B178" s="11" t="n">
        <v>46205</v>
      </c>
      <c r="C178" s="15" t="n">
        <v>0.4388888888888889</v>
      </c>
      <c r="D178" s="15" t="n">
        <v>0.7881944444444444</v>
      </c>
      <c r="E178" t="inlineStr">
        <is>
          <t>HQ-1F Sales</t>
        </is>
      </c>
    </row>
    <row r="179">
      <c r="A179" t="inlineStr">
        <is>
          <t>B-58626</t>
        </is>
      </c>
      <c r="B179" s="11" t="n">
        <v>46205</v>
      </c>
      <c r="C179" s="15" t="n">
        <v>0.4409722222222222</v>
      </c>
      <c r="D179" s="15" t="n">
        <v>0.8479166666666667</v>
      </c>
      <c r="E179" t="inlineStr">
        <is>
          <t>HQ-1F Sales</t>
        </is>
      </c>
    </row>
    <row r="180">
      <c r="A180" t="inlineStr">
        <is>
          <t>B-28377</t>
        </is>
      </c>
      <c r="B180" s="11" t="n">
        <v>46205</v>
      </c>
      <c r="C180" s="15" t="n">
        <v>0.4513888888888889</v>
      </c>
      <c r="D180" s="15" t="n">
        <v>0.8270833333333333</v>
      </c>
      <c r="E180" t="inlineStr">
        <is>
          <t>HQ-1F Sales</t>
        </is>
      </c>
    </row>
    <row r="181">
      <c r="A181" t="inlineStr">
        <is>
          <t>B-53570</t>
        </is>
      </c>
      <c r="B181" s="11" t="n">
        <v>46205</v>
      </c>
      <c r="C181" s="15" t="n">
        <v>0.4527777777777778</v>
      </c>
      <c r="D181" s="15" t="n">
        <v>0.75625</v>
      </c>
      <c r="E181" t="inlineStr">
        <is>
          <t>HQ-B1 Plant</t>
        </is>
      </c>
    </row>
    <row r="182">
      <c r="A182" t="inlineStr">
        <is>
          <t>B-74491</t>
        </is>
      </c>
      <c r="B182" s="11" t="n">
        <v>46205</v>
      </c>
      <c r="C182" s="15" t="n">
        <v>0.4527777777777778</v>
      </c>
      <c r="D182" s="15" t="n">
        <v>0.8638888888888889</v>
      </c>
      <c r="E182" t="inlineStr">
        <is>
          <t>HQ-2F Eng</t>
        </is>
      </c>
    </row>
    <row r="183">
      <c r="A183" t="inlineStr">
        <is>
          <t>B-81155</t>
        </is>
      </c>
      <c r="B183" s="11" t="n">
        <v>46205</v>
      </c>
      <c r="C183" s="15" t="n">
        <v>0.4569444444444444</v>
      </c>
      <c r="D183" s="15" t="n">
        <v>0.8097222222222222</v>
      </c>
      <c r="E183" t="inlineStr">
        <is>
          <t>HQ-G Ops</t>
        </is>
      </c>
    </row>
    <row r="184">
      <c r="A184" t="inlineStr">
        <is>
          <t>B-59802</t>
        </is>
      </c>
      <c r="B184" s="11" t="n">
        <v>46206</v>
      </c>
      <c r="C184" s="15" t="n">
        <v>0.2930555555555556</v>
      </c>
      <c r="D184" s="15" t="n">
        <v>0.6243055555555556</v>
      </c>
      <c r="E184" t="inlineStr">
        <is>
          <t>HQ-B1 Plant</t>
        </is>
      </c>
    </row>
    <row r="185">
      <c r="A185" t="inlineStr">
        <is>
          <t>B-66130</t>
        </is>
      </c>
      <c r="B185" s="11" t="n">
        <v>46206</v>
      </c>
      <c r="C185" s="15" t="n">
        <v>0.2951388888888889</v>
      </c>
      <c r="D185" s="15" t="n">
        <v>0.6465277777777778</v>
      </c>
      <c r="E185" t="inlineStr">
        <is>
          <t>HQ-1F Sales</t>
        </is>
      </c>
    </row>
    <row r="186">
      <c r="A186" t="inlineStr">
        <is>
          <t>B-86545</t>
        </is>
      </c>
      <c r="B186" s="11" t="n">
        <v>46206</v>
      </c>
      <c r="C186" s="15" t="n">
        <v>0.2965277777777778</v>
      </c>
      <c r="D186" s="15" t="n">
        <v>0.6611111111111111</v>
      </c>
      <c r="E186" t="inlineStr">
        <is>
          <t>HQ-1F Sales</t>
        </is>
      </c>
    </row>
    <row r="187">
      <c r="A187" t="inlineStr">
        <is>
          <t>B-29625</t>
        </is>
      </c>
      <c r="B187" s="11" t="n">
        <v>46206</v>
      </c>
      <c r="C187" s="15" t="n">
        <v>0.3027777777777778</v>
      </c>
      <c r="D187" s="15" t="n">
        <v>0.6743055555555556</v>
      </c>
      <c r="E187" t="inlineStr">
        <is>
          <t>HQ-1F Sales</t>
        </is>
      </c>
    </row>
    <row r="188">
      <c r="A188" t="inlineStr">
        <is>
          <t>B-45781</t>
        </is>
      </c>
      <c r="B188" s="11" t="n">
        <v>46206</v>
      </c>
      <c r="C188" s="15" t="n">
        <v>0.3083333333333333</v>
      </c>
      <c r="D188" s="15" t="n">
        <v>0.7194444444444444</v>
      </c>
      <c r="E188" t="inlineStr">
        <is>
          <t>HQ-G Ops</t>
        </is>
      </c>
    </row>
    <row r="189">
      <c r="A189" t="inlineStr">
        <is>
          <t>B-86404</t>
        </is>
      </c>
      <c r="B189" s="11" t="n">
        <v>46206</v>
      </c>
      <c r="C189" s="15" t="n">
        <v>0.3090277777777778</v>
      </c>
      <c r="D189" s="15" t="n">
        <v>0.6236111111111111</v>
      </c>
      <c r="E189" t="inlineStr">
        <is>
          <t>HQ-B1 Plant</t>
        </is>
      </c>
    </row>
    <row r="190">
      <c r="A190" t="inlineStr">
        <is>
          <t>B-84485</t>
        </is>
      </c>
      <c r="B190" s="11" t="n">
        <v>46206</v>
      </c>
      <c r="C190" s="15" t="n">
        <v>0.3201388888888889</v>
      </c>
      <c r="D190" s="15" t="n">
        <v>0.6680555555555555</v>
      </c>
      <c r="E190" t="inlineStr">
        <is>
          <t>HQ-G Ops</t>
        </is>
      </c>
    </row>
    <row r="191">
      <c r="A191" t="inlineStr">
        <is>
          <t>B-50831</t>
        </is>
      </c>
      <c r="B191" s="11" t="n">
        <v>46206</v>
      </c>
      <c r="C191" s="15" t="n">
        <v>0.3222222222222222</v>
      </c>
      <c r="D191" s="15" t="n">
        <v>0.6722222222222223</v>
      </c>
      <c r="E191" t="inlineStr">
        <is>
          <t>HQ-1F Sales</t>
        </is>
      </c>
    </row>
    <row r="192">
      <c r="A192" t="inlineStr">
        <is>
          <t>B-53691</t>
        </is>
      </c>
      <c r="B192" s="11" t="n">
        <v>46206</v>
      </c>
      <c r="C192" s="15" t="n">
        <v>0.3368055555555556</v>
      </c>
      <c r="D192" s="15" t="n">
        <v>0.65625</v>
      </c>
      <c r="E192" t="inlineStr">
        <is>
          <t>HQ-3F Finance</t>
        </is>
      </c>
    </row>
    <row r="193">
      <c r="A193" t="inlineStr">
        <is>
          <t>B-73477</t>
        </is>
      </c>
      <c r="B193" s="11" t="n">
        <v>46206</v>
      </c>
      <c r="C193" s="15" t="n">
        <v>0.3402777777777778</v>
      </c>
      <c r="D193" s="15" t="n">
        <v>0.7076388888888889</v>
      </c>
      <c r="E193" t="inlineStr">
        <is>
          <t>HQ-G Ops</t>
        </is>
      </c>
    </row>
    <row r="194">
      <c r="A194" t="inlineStr">
        <is>
          <t>B-37198</t>
        </is>
      </c>
      <c r="B194" s="11" t="n">
        <v>46206</v>
      </c>
      <c r="C194" s="15" t="n">
        <v>0.3416666666666667</v>
      </c>
      <c r="D194" s="15" t="n">
        <v>0.6923611111111111</v>
      </c>
      <c r="E194" t="inlineStr">
        <is>
          <t>HQ-G Ops</t>
        </is>
      </c>
    </row>
    <row r="195">
      <c r="A195" t="inlineStr">
        <is>
          <t>B-44380</t>
        </is>
      </c>
      <c r="B195" s="11" t="n">
        <v>46206</v>
      </c>
      <c r="C195" s="15" t="n">
        <v>0.3423611111111111</v>
      </c>
      <c r="D195" s="15" t="n">
        <v>0.7229166666666667</v>
      </c>
      <c r="E195" t="inlineStr">
        <is>
          <t>HQ-G Ops</t>
        </is>
      </c>
    </row>
    <row r="196">
      <c r="A196" t="inlineStr">
        <is>
          <t>B-56762</t>
        </is>
      </c>
      <c r="B196" s="11" t="n">
        <v>46206</v>
      </c>
      <c r="C196" s="15" t="n">
        <v>0.3444444444444444</v>
      </c>
      <c r="D196" s="15" t="n">
        <v>0.7229166666666667</v>
      </c>
      <c r="E196" t="inlineStr">
        <is>
          <t>HQ-2F Eng</t>
        </is>
      </c>
    </row>
    <row r="197">
      <c r="A197" t="inlineStr">
        <is>
          <t>B-80643</t>
        </is>
      </c>
      <c r="B197" s="11" t="n">
        <v>46206</v>
      </c>
      <c r="C197" s="15" t="n">
        <v>0.3458333333333333</v>
      </c>
      <c r="D197" s="15" t="n">
        <v>0.6861111111111111</v>
      </c>
      <c r="E197" t="inlineStr">
        <is>
          <t>HQ-G Ops</t>
        </is>
      </c>
    </row>
    <row r="198">
      <c r="A198" t="inlineStr">
        <is>
          <t>B-80138</t>
        </is>
      </c>
      <c r="B198" s="11" t="n">
        <v>46206</v>
      </c>
      <c r="C198" s="15" t="n">
        <v>0.3479166666666667</v>
      </c>
      <c r="D198" s="15" t="n">
        <v>0.6611111111111111</v>
      </c>
      <c r="E198" t="inlineStr">
        <is>
          <t>HQ-1F Sales</t>
        </is>
      </c>
    </row>
    <row r="199">
      <c r="A199" t="inlineStr">
        <is>
          <t>B-74275</t>
        </is>
      </c>
      <c r="B199" s="11" t="n">
        <v>46206</v>
      </c>
      <c r="C199" s="15" t="n">
        <v>0.3583333333333333</v>
      </c>
      <c r="D199" s="15" t="n">
        <v>0.7243055555555555</v>
      </c>
      <c r="E199" t="inlineStr">
        <is>
          <t>HQ-2F Eng</t>
        </is>
      </c>
    </row>
    <row r="200">
      <c r="A200" t="inlineStr">
        <is>
          <t>B-37382</t>
        </is>
      </c>
      <c r="B200" s="11" t="n">
        <v>46206</v>
      </c>
      <c r="C200" s="15" t="n">
        <v>0.3618055555555555</v>
      </c>
      <c r="D200" s="15" t="n">
        <v>0.6743055555555556</v>
      </c>
      <c r="E200" t="inlineStr">
        <is>
          <t>HQ-1F Sales</t>
        </is>
      </c>
    </row>
    <row r="201">
      <c r="A201" t="inlineStr">
        <is>
          <t>B-24982</t>
        </is>
      </c>
      <c r="B201" s="11" t="n">
        <v>46206</v>
      </c>
      <c r="C201" s="15" t="n">
        <v>0.3625</v>
      </c>
      <c r="D201" s="15" t="n">
        <v>0.7618055555555555</v>
      </c>
      <c r="E201" t="inlineStr">
        <is>
          <t>HQ-G Ops</t>
        </is>
      </c>
    </row>
    <row r="202">
      <c r="A202" t="inlineStr">
        <is>
          <t>B-66694</t>
        </is>
      </c>
      <c r="B202" s="11" t="n">
        <v>46206</v>
      </c>
      <c r="C202" s="15" t="n">
        <v>0.3645833333333333</v>
      </c>
      <c r="D202" s="15" t="n">
        <v>0.6805555555555556</v>
      </c>
      <c r="E202" t="inlineStr">
        <is>
          <t>HQ-1F Sales</t>
        </is>
      </c>
    </row>
    <row r="203">
      <c r="A203" t="inlineStr">
        <is>
          <t>B-22683</t>
        </is>
      </c>
      <c r="B203" s="11" t="n">
        <v>46206</v>
      </c>
      <c r="C203" s="15" t="n">
        <v>0.3729166666666667</v>
      </c>
      <c r="D203" s="15" t="n">
        <v>0.7215277777777778</v>
      </c>
      <c r="E203" t="inlineStr">
        <is>
          <t>HQ-G Ops</t>
        </is>
      </c>
    </row>
    <row r="204">
      <c r="A204" t="inlineStr">
        <is>
          <t>B-74491</t>
        </is>
      </c>
      <c r="B204" s="11" t="n">
        <v>46206</v>
      </c>
      <c r="C204" s="15" t="n">
        <v>0.3791666666666667</v>
      </c>
      <c r="D204" s="15" t="n">
        <v>0.6729166666666667</v>
      </c>
      <c r="E204" t="inlineStr">
        <is>
          <t>HQ-2F Eng</t>
        </is>
      </c>
    </row>
    <row r="205">
      <c r="A205" t="inlineStr">
        <is>
          <t>B-55197</t>
        </is>
      </c>
      <c r="B205" s="11" t="n">
        <v>46206</v>
      </c>
      <c r="C205" s="15" t="n">
        <v>0.3902777777777778</v>
      </c>
      <c r="D205" s="15" t="n">
        <v>0.6902777777777778</v>
      </c>
      <c r="E205" t="inlineStr">
        <is>
          <t>HQ-G Ops</t>
        </is>
      </c>
    </row>
    <row r="206">
      <c r="A206" t="inlineStr">
        <is>
          <t>B-28377</t>
        </is>
      </c>
      <c r="B206" s="11" t="n">
        <v>46206</v>
      </c>
      <c r="C206" s="15" t="n">
        <v>0.3944444444444444</v>
      </c>
      <c r="D206" s="15" t="n">
        <v>0.7305555555555555</v>
      </c>
      <c r="E206" t="inlineStr">
        <is>
          <t>HQ-1F Sales</t>
        </is>
      </c>
    </row>
    <row r="207">
      <c r="A207" t="inlineStr">
        <is>
          <t>B-45623</t>
        </is>
      </c>
      <c r="B207" s="11" t="n">
        <v>46206</v>
      </c>
      <c r="C207" s="15" t="n">
        <v>0.4215277777777778</v>
      </c>
      <c r="D207" s="15" t="n">
        <v>0.75</v>
      </c>
      <c r="E207" t="inlineStr">
        <is>
          <t>HQ-1F Sales</t>
        </is>
      </c>
    </row>
    <row r="208">
      <c r="A208" t="inlineStr">
        <is>
          <t>B-23380</t>
        </is>
      </c>
      <c r="B208" s="11" t="n">
        <v>46206</v>
      </c>
      <c r="C208" s="15" t="n">
        <v>0.4458333333333334</v>
      </c>
      <c r="D208" s="15" t="n">
        <v>0.7388888888888889</v>
      </c>
      <c r="E208" t="inlineStr">
        <is>
          <t>HQ-G Ops</t>
        </is>
      </c>
    </row>
    <row r="209">
      <c r="A209" t="inlineStr">
        <is>
          <t>B-28377</t>
        </is>
      </c>
      <c r="B209" s="11" t="n">
        <v>46209</v>
      </c>
      <c r="C209" s="15" t="n">
        <v>0.2944444444444445</v>
      </c>
      <c r="D209" s="15" t="n">
        <v>0.6159722222222223</v>
      </c>
      <c r="E209" t="inlineStr">
        <is>
          <t>HQ-1F Sales</t>
        </is>
      </c>
    </row>
    <row r="210">
      <c r="A210" t="inlineStr">
        <is>
          <t>B-74275</t>
        </is>
      </c>
      <c r="B210" s="11" t="n">
        <v>46209</v>
      </c>
      <c r="C210" s="15" t="n">
        <v>0.2944444444444445</v>
      </c>
      <c r="D210" s="15" t="n">
        <v>0.6486111111111111</v>
      </c>
      <c r="E210" t="inlineStr">
        <is>
          <t>HQ-2F Eng</t>
        </is>
      </c>
    </row>
    <row r="211">
      <c r="A211" t="inlineStr">
        <is>
          <t>B-22683</t>
        </is>
      </c>
      <c r="B211" s="11" t="n">
        <v>46209</v>
      </c>
      <c r="C211" s="15" t="n">
        <v>0.3097222222222222</v>
      </c>
      <c r="D211" s="15" t="n">
        <v>0.70625</v>
      </c>
      <c r="E211" t="inlineStr">
        <is>
          <t>HQ-G Ops</t>
        </is>
      </c>
    </row>
    <row r="212">
      <c r="A212" t="inlineStr">
        <is>
          <t>B-86404</t>
        </is>
      </c>
      <c r="B212" s="11" t="n">
        <v>46209</v>
      </c>
      <c r="C212" s="15" t="n">
        <v>0.3145833333333333</v>
      </c>
      <c r="D212" s="15" t="n">
        <v>0.6215277777777778</v>
      </c>
      <c r="E212" t="inlineStr">
        <is>
          <t>HQ-B1 Plant</t>
        </is>
      </c>
    </row>
    <row r="213">
      <c r="A213" t="inlineStr">
        <is>
          <t>B-29625</t>
        </is>
      </c>
      <c r="B213" s="11" t="n">
        <v>46209</v>
      </c>
      <c r="C213" s="15" t="n">
        <v>0.3166666666666667</v>
      </c>
      <c r="D213" s="15" t="n">
        <v>0.6451388888888889</v>
      </c>
      <c r="E213" t="inlineStr">
        <is>
          <t>HQ-1F Sales</t>
        </is>
      </c>
    </row>
    <row r="214">
      <c r="A214" t="inlineStr">
        <is>
          <t>B-53691</t>
        </is>
      </c>
      <c r="B214" s="11" t="n">
        <v>46209</v>
      </c>
      <c r="C214" s="15" t="n">
        <v>0.3173611111111111</v>
      </c>
      <c r="D214" s="15" t="n">
        <v>0.6305555555555555</v>
      </c>
      <c r="E214" t="inlineStr">
        <is>
          <t>HQ-3F Finance</t>
        </is>
      </c>
    </row>
    <row r="215">
      <c r="A215" t="inlineStr">
        <is>
          <t>B-44380</t>
        </is>
      </c>
      <c r="B215" s="11" t="n">
        <v>46209</v>
      </c>
      <c r="C215" s="15" t="n">
        <v>0.3256944444444445</v>
      </c>
      <c r="D215" s="15" t="n">
        <v>0.6513888888888889</v>
      </c>
      <c r="E215" t="inlineStr">
        <is>
          <t>HQ-G Ops</t>
        </is>
      </c>
    </row>
    <row r="216">
      <c r="A216" t="inlineStr">
        <is>
          <t>B-29110</t>
        </is>
      </c>
      <c r="B216" s="11" t="n">
        <v>46209</v>
      </c>
      <c r="C216" s="15" t="n">
        <v>0.3256944444444445</v>
      </c>
      <c r="D216" s="15" t="n">
        <v>0.6909722222222222</v>
      </c>
      <c r="E216" t="inlineStr">
        <is>
          <t>HQ-1F Sales</t>
        </is>
      </c>
    </row>
    <row r="217">
      <c r="A217" t="inlineStr">
        <is>
          <t>B-81155</t>
        </is>
      </c>
      <c r="B217" s="11" t="n">
        <v>46209</v>
      </c>
      <c r="C217" s="15" t="n">
        <v>0.3263888888888889</v>
      </c>
      <c r="D217" s="15" t="n">
        <v>0.70625</v>
      </c>
      <c r="E217" t="inlineStr">
        <is>
          <t>HQ-G Ops</t>
        </is>
      </c>
    </row>
    <row r="218">
      <c r="A218" t="inlineStr">
        <is>
          <t>B-53570</t>
        </is>
      </c>
      <c r="B218" s="11" t="n">
        <v>46209</v>
      </c>
      <c r="C218" s="15" t="n">
        <v>0.3347222222222222</v>
      </c>
      <c r="D218" s="15" t="n">
        <v>0.7055555555555556</v>
      </c>
      <c r="E218" t="inlineStr">
        <is>
          <t>HQ-B1 Plant</t>
        </is>
      </c>
    </row>
    <row r="219">
      <c r="A219" t="inlineStr">
        <is>
          <t>B-42449</t>
        </is>
      </c>
      <c r="B219" s="11" t="n">
        <v>46209</v>
      </c>
      <c r="C219" s="15" t="n">
        <v>0.3375</v>
      </c>
      <c r="D219" s="15" t="n">
        <v>0.7083333333333334</v>
      </c>
      <c r="E219" t="inlineStr">
        <is>
          <t>HQ-G Ops</t>
        </is>
      </c>
    </row>
    <row r="220">
      <c r="A220" t="inlineStr">
        <is>
          <t>B-48382</t>
        </is>
      </c>
      <c r="B220" s="11" t="n">
        <v>46209</v>
      </c>
      <c r="C220" s="15" t="n">
        <v>0.3451388888888889</v>
      </c>
      <c r="D220" s="15" t="n">
        <v>0.6638888888888889</v>
      </c>
      <c r="E220" t="inlineStr">
        <is>
          <t>HQ-3F Finance</t>
        </is>
      </c>
    </row>
    <row r="221">
      <c r="A221" t="inlineStr">
        <is>
          <t>B-20643</t>
        </is>
      </c>
      <c r="B221" s="11" t="n">
        <v>46209</v>
      </c>
      <c r="C221" s="15" t="n">
        <v>0.3479166666666667</v>
      </c>
      <c r="D221" s="15" t="n">
        <v>0.7243055555555555</v>
      </c>
      <c r="E221" t="inlineStr">
        <is>
          <t>HQ-G Ops</t>
        </is>
      </c>
    </row>
    <row r="222">
      <c r="A222" t="inlineStr">
        <is>
          <t>B-80643</t>
        </is>
      </c>
      <c r="B222" s="11" t="n">
        <v>46209</v>
      </c>
      <c r="C222" s="15" t="n">
        <v>0.3576388888888889</v>
      </c>
      <c r="D222" s="15" t="n">
        <v>0.7465277777777778</v>
      </c>
      <c r="E222" t="inlineStr">
        <is>
          <t>HQ-G Ops</t>
        </is>
      </c>
    </row>
    <row r="223">
      <c r="A223" t="inlineStr">
        <is>
          <t>B-50831</t>
        </is>
      </c>
      <c r="B223" s="11" t="n">
        <v>46209</v>
      </c>
      <c r="C223" s="15" t="n">
        <v>0.3659722222222222</v>
      </c>
      <c r="D223" s="15" t="n">
        <v>0.7791666666666667</v>
      </c>
      <c r="E223" t="inlineStr">
        <is>
          <t>HQ-1F Sales</t>
        </is>
      </c>
    </row>
    <row r="224">
      <c r="A224" t="inlineStr">
        <is>
          <t>B-26316</t>
        </is>
      </c>
      <c r="B224" s="11" t="n">
        <v>46209</v>
      </c>
      <c r="C224" s="15" t="n">
        <v>0.3763888888888889</v>
      </c>
      <c r="D224" s="15" t="n">
        <v>0.6993055555555555</v>
      </c>
      <c r="E224" t="inlineStr">
        <is>
          <t>HQ-G Ops</t>
        </is>
      </c>
    </row>
    <row r="225">
      <c r="A225" t="inlineStr">
        <is>
          <t>B-88773</t>
        </is>
      </c>
      <c r="B225" s="11" t="n">
        <v>46209</v>
      </c>
      <c r="C225" s="15" t="n">
        <v>0.3847222222222222</v>
      </c>
      <c r="D225" s="15" t="n">
        <v>0.7854166666666667</v>
      </c>
      <c r="E225" t="inlineStr">
        <is>
          <t>HQ-1F Sales</t>
        </is>
      </c>
    </row>
    <row r="226">
      <c r="A226" t="inlineStr">
        <is>
          <t>B-55197</t>
        </is>
      </c>
      <c r="B226" s="11" t="n">
        <v>46209</v>
      </c>
      <c r="C226" s="15" t="n">
        <v>0.3902777777777778</v>
      </c>
      <c r="D226" s="15" t="n">
        <v>0.7930555555555555</v>
      </c>
      <c r="E226" t="inlineStr">
        <is>
          <t>HQ-G Ops</t>
        </is>
      </c>
    </row>
    <row r="227">
      <c r="A227" t="inlineStr">
        <is>
          <t>B-23380</t>
        </is>
      </c>
      <c r="B227" s="11" t="n">
        <v>46209</v>
      </c>
      <c r="C227" s="15" t="n">
        <v>0.3909722222222222</v>
      </c>
      <c r="D227" s="15" t="n">
        <v>0.6875</v>
      </c>
      <c r="E227" t="inlineStr">
        <is>
          <t>HQ-G Ops</t>
        </is>
      </c>
    </row>
    <row r="228">
      <c r="A228" t="inlineStr">
        <is>
          <t>B-24982</t>
        </is>
      </c>
      <c r="B228" s="11" t="n">
        <v>46209</v>
      </c>
      <c r="C228" s="15" t="n">
        <v>0.3965277777777778</v>
      </c>
      <c r="D228" s="15" t="n">
        <v>0.7111111111111111</v>
      </c>
      <c r="E228" t="inlineStr">
        <is>
          <t>HQ-G Ops</t>
        </is>
      </c>
    </row>
    <row r="229">
      <c r="A229" t="inlineStr">
        <is>
          <t>B-88070</t>
        </is>
      </c>
      <c r="B229" s="11" t="n">
        <v>46209</v>
      </c>
      <c r="C229" s="15" t="n">
        <v>0.4006944444444445</v>
      </c>
      <c r="D229" s="15" t="n">
        <v>0.8041666666666667</v>
      </c>
      <c r="E229" t="inlineStr">
        <is>
          <t>HQ-B1 Plant</t>
        </is>
      </c>
    </row>
    <row r="230">
      <c r="A230" t="inlineStr">
        <is>
          <t>B-66130</t>
        </is>
      </c>
      <c r="B230" s="11" t="n">
        <v>46209</v>
      </c>
      <c r="C230" s="15" t="n">
        <v>0.4027777777777778</v>
      </c>
      <c r="D230" s="15" t="n">
        <v>0.7215277777777778</v>
      </c>
      <c r="E230" t="inlineStr">
        <is>
          <t>HQ-1F Sales</t>
        </is>
      </c>
    </row>
    <row r="231">
      <c r="A231" t="inlineStr">
        <is>
          <t>B-74491</t>
        </is>
      </c>
      <c r="B231" s="11" t="n">
        <v>46209</v>
      </c>
      <c r="C231" s="15" t="n">
        <v>0.4145833333333334</v>
      </c>
      <c r="D231" s="15" t="n">
        <v>0.7680555555555556</v>
      </c>
      <c r="E231" t="inlineStr">
        <is>
          <t>HQ-2F Eng</t>
        </is>
      </c>
    </row>
    <row r="232">
      <c r="A232" t="inlineStr">
        <is>
          <t>B-88106</t>
        </is>
      </c>
      <c r="B232" s="11" t="n">
        <v>46209</v>
      </c>
      <c r="C232" s="15" t="n">
        <v>0.4159722222222222</v>
      </c>
      <c r="D232" s="15" t="n">
        <v>0.79375</v>
      </c>
      <c r="E232" t="inlineStr">
        <is>
          <t>HQ-2F Eng</t>
        </is>
      </c>
    </row>
    <row r="233">
      <c r="A233" t="inlineStr">
        <is>
          <t>B-37382</t>
        </is>
      </c>
      <c r="B233" s="11" t="n">
        <v>46209</v>
      </c>
      <c r="C233" s="15" t="n">
        <v>0.4305555555555556</v>
      </c>
      <c r="D233" s="15" t="n">
        <v>0.7243055555555555</v>
      </c>
      <c r="E233" t="inlineStr">
        <is>
          <t>HQ-1F Sales</t>
        </is>
      </c>
    </row>
    <row r="234">
      <c r="A234" t="inlineStr">
        <is>
          <t>B-74759</t>
        </is>
      </c>
      <c r="B234" s="11" t="n">
        <v>46209</v>
      </c>
      <c r="C234" s="15" t="n">
        <v>0.4409722222222222</v>
      </c>
      <c r="D234" s="15" t="n">
        <v>0.7868055555555555</v>
      </c>
      <c r="E234" t="inlineStr">
        <is>
          <t>HQ-2F Eng</t>
        </is>
      </c>
    </row>
    <row r="235">
      <c r="A235" t="inlineStr">
        <is>
          <t>B-81155</t>
        </is>
      </c>
      <c r="B235" s="11" t="n">
        <v>46210</v>
      </c>
      <c r="C235" s="15" t="n">
        <v>0.2916666666666667</v>
      </c>
      <c r="D235" s="15" t="n">
        <v>0.6027777777777777</v>
      </c>
      <c r="E235" t="inlineStr">
        <is>
          <t>HQ-G Ops</t>
        </is>
      </c>
    </row>
    <row r="236">
      <c r="A236" t="inlineStr">
        <is>
          <t>B-42449</t>
        </is>
      </c>
      <c r="B236" s="11" t="n">
        <v>46210</v>
      </c>
      <c r="C236" s="15" t="n">
        <v>0.2916666666666667</v>
      </c>
      <c r="D236" s="15" t="n">
        <v>0.6951388888888889</v>
      </c>
      <c r="E236" t="inlineStr">
        <is>
          <t>HQ-G Ops</t>
        </is>
      </c>
    </row>
    <row r="237">
      <c r="A237" t="inlineStr">
        <is>
          <t>B-22683</t>
        </is>
      </c>
      <c r="B237" s="11" t="n">
        <v>46210</v>
      </c>
      <c r="C237" s="15" t="n">
        <v>0.29375</v>
      </c>
      <c r="D237" s="15" t="n">
        <v>0.5895833333333333</v>
      </c>
      <c r="E237" t="inlineStr">
        <is>
          <t>HQ-G Ops</t>
        </is>
      </c>
    </row>
    <row r="238">
      <c r="A238" t="inlineStr">
        <is>
          <t>B-58626</t>
        </is>
      </c>
      <c r="B238" s="11" t="n">
        <v>46210</v>
      </c>
      <c r="C238" s="15" t="n">
        <v>0.3118055555555556</v>
      </c>
      <c r="D238" s="15" t="n">
        <v>0.6986111111111111</v>
      </c>
      <c r="E238" t="inlineStr">
        <is>
          <t>HQ-1F Sales</t>
        </is>
      </c>
    </row>
    <row r="239">
      <c r="A239" t="inlineStr">
        <is>
          <t>B-86545</t>
        </is>
      </c>
      <c r="B239" s="11" t="n">
        <v>46210</v>
      </c>
      <c r="C239" s="15" t="n">
        <v>0.3145833333333333</v>
      </c>
      <c r="D239" s="15" t="n">
        <v>0.6743055555555556</v>
      </c>
      <c r="E239" t="inlineStr">
        <is>
          <t>HQ-1F Sales</t>
        </is>
      </c>
    </row>
    <row r="240">
      <c r="A240" t="inlineStr">
        <is>
          <t>B-74275</t>
        </is>
      </c>
      <c r="B240" s="11" t="n">
        <v>46210</v>
      </c>
      <c r="C240" s="15" t="n">
        <v>0.3159722222222222</v>
      </c>
      <c r="D240" s="15" t="n">
        <v>0.6631944444444444</v>
      </c>
      <c r="E240" t="inlineStr">
        <is>
          <t>HQ-2F Eng</t>
        </is>
      </c>
    </row>
    <row r="241">
      <c r="A241" t="inlineStr">
        <is>
          <t>B-28377</t>
        </is>
      </c>
      <c r="B241" s="11" t="n">
        <v>46210</v>
      </c>
      <c r="C241" s="15" t="n">
        <v>0.3229166666666667</v>
      </c>
      <c r="D241" s="15" t="n">
        <v>0.7027777777777777</v>
      </c>
      <c r="E241" t="inlineStr">
        <is>
          <t>HQ-1F Sales</t>
        </is>
      </c>
    </row>
    <row r="242">
      <c r="A242" t="inlineStr">
        <is>
          <t>B-65915</t>
        </is>
      </c>
      <c r="B242" s="11" t="n">
        <v>46210</v>
      </c>
      <c r="C242" s="15" t="n">
        <v>0.3319444444444444</v>
      </c>
      <c r="D242" s="15" t="n">
        <v>0.7027777777777777</v>
      </c>
      <c r="E242" t="inlineStr">
        <is>
          <t>HQ-1F Sales</t>
        </is>
      </c>
    </row>
    <row r="243">
      <c r="A243" t="inlineStr">
        <is>
          <t>B-66130</t>
        </is>
      </c>
      <c r="B243" s="11" t="n">
        <v>46210</v>
      </c>
      <c r="C243" s="15" t="n">
        <v>0.3347222222222222</v>
      </c>
      <c r="D243" s="15" t="n">
        <v>0.6680555555555555</v>
      </c>
      <c r="E243" t="inlineStr">
        <is>
          <t>HQ-1F Sales</t>
        </is>
      </c>
    </row>
    <row r="244">
      <c r="A244" t="inlineStr">
        <is>
          <t>B-66694</t>
        </is>
      </c>
      <c r="B244" s="11" t="n">
        <v>46210</v>
      </c>
      <c r="C244" s="15" t="n">
        <v>0.3368055555555556</v>
      </c>
      <c r="D244" s="15" t="n">
        <v>0.6534722222222222</v>
      </c>
      <c r="E244" t="inlineStr">
        <is>
          <t>HQ-1F Sales</t>
        </is>
      </c>
    </row>
    <row r="245">
      <c r="A245" t="inlineStr">
        <is>
          <t>B-74759</t>
        </is>
      </c>
      <c r="B245" s="11" t="n">
        <v>46210</v>
      </c>
      <c r="C245" s="15" t="n">
        <v>0.3520833333333334</v>
      </c>
      <c r="D245" s="15" t="n">
        <v>0.7173611111111111</v>
      </c>
      <c r="E245" t="inlineStr">
        <is>
          <t>HQ-2F Eng</t>
        </is>
      </c>
    </row>
    <row r="246">
      <c r="A246" t="inlineStr">
        <is>
          <t>B-26316</t>
        </is>
      </c>
      <c r="B246" s="11" t="n">
        <v>46210</v>
      </c>
      <c r="C246" s="15" t="n">
        <v>0.3618055555555555</v>
      </c>
      <c r="D246" s="15" t="n">
        <v>0.6881944444444444</v>
      </c>
      <c r="E246" t="inlineStr">
        <is>
          <t>HQ-G Ops</t>
        </is>
      </c>
    </row>
    <row r="247">
      <c r="A247" t="inlineStr">
        <is>
          <t>B-56762</t>
        </is>
      </c>
      <c r="B247" s="11" t="n">
        <v>46210</v>
      </c>
      <c r="C247" s="15" t="n">
        <v>0.3701388888888889</v>
      </c>
      <c r="D247" s="15" t="n">
        <v>0.7298611111111111</v>
      </c>
      <c r="E247" t="inlineStr">
        <is>
          <t>HQ-2F Eng</t>
        </is>
      </c>
    </row>
    <row r="248">
      <c r="A248" t="inlineStr">
        <is>
          <t>B-55197</t>
        </is>
      </c>
      <c r="B248" s="11" t="n">
        <v>46210</v>
      </c>
      <c r="C248" s="15" t="n">
        <v>0.3729166666666667</v>
      </c>
      <c r="D248" s="15" t="n">
        <v>0.7111111111111111</v>
      </c>
      <c r="E248" t="inlineStr">
        <is>
          <t>HQ-G Ops</t>
        </is>
      </c>
    </row>
    <row r="249">
      <c r="A249" t="inlineStr">
        <is>
          <t>B-80138</t>
        </is>
      </c>
      <c r="B249" s="11" t="n">
        <v>46210</v>
      </c>
      <c r="C249" s="15" t="n">
        <v>0.3763888888888889</v>
      </c>
      <c r="D249" s="15" t="n">
        <v>0.7756944444444445</v>
      </c>
      <c r="E249" t="inlineStr">
        <is>
          <t>HQ-1F Sales</t>
        </is>
      </c>
    </row>
    <row r="250">
      <c r="A250" t="inlineStr">
        <is>
          <t>B-73477</t>
        </is>
      </c>
      <c r="B250" s="11" t="n">
        <v>46210</v>
      </c>
      <c r="C250" s="15" t="n">
        <v>0.38125</v>
      </c>
      <c r="D250" s="15" t="n">
        <v>0.7875</v>
      </c>
      <c r="E250" t="inlineStr">
        <is>
          <t>HQ-G Ops</t>
        </is>
      </c>
    </row>
    <row r="251">
      <c r="A251" t="inlineStr">
        <is>
          <t>B-84485</t>
        </is>
      </c>
      <c r="B251" s="11" t="n">
        <v>46210</v>
      </c>
      <c r="C251" s="15" t="n">
        <v>0.4</v>
      </c>
      <c r="D251" s="15" t="n">
        <v>0.7034722222222223</v>
      </c>
      <c r="E251" t="inlineStr">
        <is>
          <t>HQ-G Ops</t>
        </is>
      </c>
    </row>
    <row r="252">
      <c r="A252" t="inlineStr">
        <is>
          <t>B-50831</t>
        </is>
      </c>
      <c r="B252" s="11" t="n">
        <v>46210</v>
      </c>
      <c r="C252" s="15" t="n">
        <v>0.4027777777777778</v>
      </c>
      <c r="D252" s="15" t="n">
        <v>0.7118055555555556</v>
      </c>
      <c r="E252" t="inlineStr">
        <is>
          <t>HQ-1F Sales</t>
        </is>
      </c>
    </row>
    <row r="253">
      <c r="A253" t="inlineStr">
        <is>
          <t>B-44380</t>
        </is>
      </c>
      <c r="B253" s="11" t="n">
        <v>46210</v>
      </c>
      <c r="C253" s="15" t="n">
        <v>0.4055555555555556</v>
      </c>
      <c r="D253" s="15" t="n">
        <v>0.71875</v>
      </c>
      <c r="E253" t="inlineStr">
        <is>
          <t>HQ-G Ops</t>
        </is>
      </c>
    </row>
    <row r="254">
      <c r="A254" t="inlineStr">
        <is>
          <t>B-53691</t>
        </is>
      </c>
      <c r="B254" s="11" t="n">
        <v>46210</v>
      </c>
      <c r="C254" s="15" t="n">
        <v>0.4118055555555555</v>
      </c>
      <c r="D254" s="15" t="n">
        <v>0.8222222222222222</v>
      </c>
      <c r="E254" t="inlineStr">
        <is>
          <t>HQ-3F Finance</t>
        </is>
      </c>
    </row>
    <row r="255">
      <c r="A255" t="inlineStr">
        <is>
          <t>B-29110</t>
        </is>
      </c>
      <c r="B255" s="11" t="n">
        <v>46210</v>
      </c>
      <c r="C255" s="15" t="n">
        <v>0.4236111111111111</v>
      </c>
      <c r="D255" s="15" t="n">
        <v>0.7284722222222222</v>
      </c>
      <c r="E255" t="inlineStr">
        <is>
          <t>HQ-1F Sales</t>
        </is>
      </c>
    </row>
    <row r="256">
      <c r="A256" t="inlineStr">
        <is>
          <t>B-37198</t>
        </is>
      </c>
      <c r="B256" s="11" t="n">
        <v>46210</v>
      </c>
      <c r="C256" s="15" t="n">
        <v>0.43125</v>
      </c>
      <c r="D256" s="15" t="n">
        <v>0.7708333333333334</v>
      </c>
      <c r="E256" t="inlineStr">
        <is>
          <t>HQ-G Ops</t>
        </is>
      </c>
    </row>
    <row r="257">
      <c r="A257" t="inlineStr">
        <is>
          <t>B-23380</t>
        </is>
      </c>
      <c r="B257" s="11" t="n">
        <v>46210</v>
      </c>
      <c r="C257" s="15" t="n">
        <v>0.4416666666666667</v>
      </c>
      <c r="D257" s="15" t="n">
        <v>0.8326388888888889</v>
      </c>
      <c r="E257" t="inlineStr">
        <is>
          <t>HQ-G Ops</t>
        </is>
      </c>
    </row>
    <row r="258">
      <c r="A258" t="inlineStr">
        <is>
          <t>B-86404</t>
        </is>
      </c>
      <c r="B258" s="11" t="n">
        <v>46210</v>
      </c>
      <c r="C258" s="15" t="n">
        <v>0.4444444444444444</v>
      </c>
      <c r="D258" s="15" t="n">
        <v>0.8173611111111111</v>
      </c>
      <c r="E258" t="inlineStr">
        <is>
          <t>HQ-B1 Plant</t>
        </is>
      </c>
    </row>
    <row r="259">
      <c r="A259" t="inlineStr">
        <is>
          <t>B-88106</t>
        </is>
      </c>
      <c r="B259" s="11" t="n">
        <v>46210</v>
      </c>
      <c r="C259" s="15" t="n">
        <v>0.4458333333333334</v>
      </c>
      <c r="D259" s="15" t="n">
        <v>0.8513888888888889</v>
      </c>
      <c r="E259" t="inlineStr">
        <is>
          <t>HQ-2F Eng</t>
        </is>
      </c>
    </row>
    <row r="260">
      <c r="A260" t="inlineStr">
        <is>
          <t>B-24982</t>
        </is>
      </c>
      <c r="B260" s="11" t="n">
        <v>46210</v>
      </c>
      <c r="C260" s="15" t="n">
        <v>0.4506944444444445</v>
      </c>
      <c r="D260" s="15" t="n">
        <v>0.7513888888888889</v>
      </c>
      <c r="E260" t="inlineStr">
        <is>
          <t>HQ-G Ops</t>
        </is>
      </c>
    </row>
  </sheetData>
  <autoFilter ref="A1:E26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</cols>
  <sheetData>
    <row r="2">
      <c r="A2" s="2" t="inlineStr">
        <is>
          <t>Hint 1</t>
        </is>
      </c>
      <c r="B2" t="inlineStr">
        <is>
          <t>Filter the Ledger for payments over $1,000 with no PO #. Which vendor keeps coming up — and how close to $5,000 are they?</t>
        </is>
      </c>
    </row>
    <row r="3">
      <c r="A3" s="2" t="inlineStr">
        <is>
          <t>Hint 2</t>
        </is>
      </c>
      <c r="B3" t="inlineStr">
        <is>
          <t>Look that vendor up in Vendors. When and how was it created? Compare its bank last-4 against the Employees sheet.</t>
        </is>
      </c>
    </row>
    <row r="4">
      <c r="A4" s="2" t="inlineStr">
        <is>
          <t>Hint 3</t>
        </is>
      </c>
      <c r="B4" t="inlineStr">
        <is>
          <t>Two employees share that last-4. IT notice 19 says vendors are created on-site. Who badged into HQ-3F Finance that night?</t>
        </is>
      </c>
    </row>
    <row r="5">
      <c r="A5" s="2" t="inlineStr">
        <is>
          <t>Hint 4</t>
        </is>
      </c>
      <c r="B5" t="inlineStr">
        <is>
          <t>Total = SUMIF(Ledger!E:E, &lt;vendor id&gt;, Ledger!G:G).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2026-10-21T10:35:38Z</dcterms:created>
  <dcterms:modified xmlns:dcterms="http://purl.org/dc/terms/" xmlns:xsi="http://www.w3.org/2001/XMLSchema-instance" xsi:type="dcterms:W3CDTF">2026-10-21T10:35:38Z</dcterms:modified>
</cp:coreProperties>
</file>